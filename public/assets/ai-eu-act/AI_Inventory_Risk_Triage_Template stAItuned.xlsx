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oltisantid/Personal/website/public/assets/ai-eu-act/"/>
    </mc:Choice>
  </mc:AlternateContent>
  <xr:revisionPtr revIDLastSave="0" documentId="8_{44881F32-34BC-2C4A-A021-BA2CB0BA007D}" xr6:coauthVersionLast="47" xr6:coauthVersionMax="47" xr10:uidLastSave="{00000000-0000-0000-0000-000000000000}"/>
  <bookViews>
    <workbookView xWindow="0" yWindow="660" windowWidth="30240" windowHeight="17740" activeTab="3" xr2:uid="{00000000-000D-0000-FFFF-FFFF00000000}"/>
  </bookViews>
  <sheets>
    <sheet name="Instructions" sheetId="4" r:id="rId1"/>
    <sheet name="AI_Inventory" sheetId="2" r:id="rId2"/>
    <sheet name="Risk_Triage" sheetId="3" r:id="rId3"/>
    <sheet name="Lookups" sheetId="1" r:id="rId4"/>
  </sheets>
  <definedNames>
    <definedName name="_xlnm._FilterDatabase" localSheetId="1" hidden="1">AI_Inventory!$A$1:$Z$201</definedName>
    <definedName name="BuildType">Lookups!$G$4:$G$6</definedName>
    <definedName name="BusinessFunction">Lookups!$C$4:$C$15</definedName>
    <definedName name="DataSourceList">Lookups!$O$4:$O$9</definedName>
    <definedName name="EndUsersList">Lookups!$M$4:$M$8</definedName>
    <definedName name="EnvironmentList">Lookups!$K$4:$K$7</definedName>
    <definedName name="RoleList">Lookups!$I$4:$I$7</definedName>
    <definedName name="UseCaseArchetype">Lookups!$E$4:$E$13</definedName>
    <definedName name="YesNo">Lookups!$A$4:$A$6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B12" i="3"/>
  <c r="B10" i="3"/>
  <c r="B4" i="3"/>
  <c r="W201" i="2"/>
  <c r="X201" i="2" s="1"/>
  <c r="W200" i="2"/>
  <c r="Y200" i="2" s="1"/>
  <c r="W199" i="2"/>
  <c r="Y199" i="2" s="1"/>
  <c r="W198" i="2"/>
  <c r="Y198" i="2" s="1"/>
  <c r="W197" i="2"/>
  <c r="Y197" i="2" s="1"/>
  <c r="W196" i="2"/>
  <c r="Y196" i="2" s="1"/>
  <c r="W195" i="2"/>
  <c r="Y195" i="2" s="1"/>
  <c r="W194" i="2"/>
  <c r="Y194" i="2" s="1"/>
  <c r="W193" i="2"/>
  <c r="Y193" i="2" s="1"/>
  <c r="W192" i="2"/>
  <c r="X192" i="2" s="1"/>
  <c r="W191" i="2"/>
  <c r="Y191" i="2" s="1"/>
  <c r="W190" i="2"/>
  <c r="X190" i="2" s="1"/>
  <c r="W189" i="2"/>
  <c r="Y189" i="2" s="1"/>
  <c r="W188" i="2"/>
  <c r="Y188" i="2" s="1"/>
  <c r="W187" i="2"/>
  <c r="X187" i="2" s="1"/>
  <c r="W186" i="2"/>
  <c r="Y186" i="2" s="1"/>
  <c r="W185" i="2"/>
  <c r="Y185" i="2" s="1"/>
  <c r="W184" i="2"/>
  <c r="Y184" i="2" s="1"/>
  <c r="W183" i="2"/>
  <c r="Y183" i="2" s="1"/>
  <c r="W182" i="2"/>
  <c r="Y182" i="2" s="1"/>
  <c r="W181" i="2"/>
  <c r="X181" i="2" s="1"/>
  <c r="W180" i="2"/>
  <c r="Y180" i="2" s="1"/>
  <c r="W179" i="2"/>
  <c r="X179" i="2" s="1"/>
  <c r="W178" i="2"/>
  <c r="Y178" i="2" s="1"/>
  <c r="W177" i="2"/>
  <c r="Y177" i="2" s="1"/>
  <c r="W176" i="2"/>
  <c r="X176" i="2" s="1"/>
  <c r="W175" i="2"/>
  <c r="Y175" i="2" s="1"/>
  <c r="W174" i="2"/>
  <c r="Y174" i="2" s="1"/>
  <c r="W173" i="2"/>
  <c r="Y173" i="2" s="1"/>
  <c r="W172" i="2"/>
  <c r="Y172" i="2" s="1"/>
  <c r="W171" i="2"/>
  <c r="Y171" i="2" s="1"/>
  <c r="W170" i="2"/>
  <c r="X170" i="2" s="1"/>
  <c r="W169" i="2"/>
  <c r="Y169" i="2" s="1"/>
  <c r="W168" i="2"/>
  <c r="X168" i="2" s="1"/>
  <c r="W167" i="2"/>
  <c r="Y167" i="2" s="1"/>
  <c r="X166" i="2"/>
  <c r="W166" i="2"/>
  <c r="Y166" i="2" s="1"/>
  <c r="W165" i="2"/>
  <c r="X165" i="2" s="1"/>
  <c r="W164" i="2"/>
  <c r="Y164" i="2" s="1"/>
  <c r="W163" i="2"/>
  <c r="Y163" i="2" s="1"/>
  <c r="W162" i="2"/>
  <c r="Y162" i="2" s="1"/>
  <c r="W161" i="2"/>
  <c r="Y161" i="2" s="1"/>
  <c r="W160" i="2"/>
  <c r="Y160" i="2" s="1"/>
  <c r="Y159" i="2"/>
  <c r="W159" i="2"/>
  <c r="X159" i="2" s="1"/>
  <c r="W158" i="2"/>
  <c r="Y158" i="2" s="1"/>
  <c r="W157" i="2"/>
  <c r="X157" i="2" s="1"/>
  <c r="W156" i="2"/>
  <c r="Y156" i="2" s="1"/>
  <c r="W155" i="2"/>
  <c r="Y155" i="2" s="1"/>
  <c r="W154" i="2"/>
  <c r="X154" i="2" s="1"/>
  <c r="W153" i="2"/>
  <c r="Y153" i="2" s="1"/>
  <c r="W152" i="2"/>
  <c r="Y152" i="2" s="1"/>
  <c r="W151" i="2"/>
  <c r="Y151" i="2" s="1"/>
  <c r="X150" i="2"/>
  <c r="W150" i="2"/>
  <c r="Y150" i="2" s="1"/>
  <c r="W149" i="2"/>
  <c r="Y149" i="2" s="1"/>
  <c r="W148" i="2"/>
  <c r="X148" i="2" s="1"/>
  <c r="W147" i="2"/>
  <c r="Y147" i="2" s="1"/>
  <c r="W146" i="2"/>
  <c r="X146" i="2" s="1"/>
  <c r="W145" i="2"/>
  <c r="Y145" i="2" s="1"/>
  <c r="W144" i="2"/>
  <c r="Y144" i="2" s="1"/>
  <c r="W143" i="2"/>
  <c r="X143" i="2" s="1"/>
  <c r="W142" i="2"/>
  <c r="Y142" i="2" s="1"/>
  <c r="W141" i="2"/>
  <c r="Y141" i="2" s="1"/>
  <c r="W140" i="2"/>
  <c r="Y140" i="2" s="1"/>
  <c r="W139" i="2"/>
  <c r="Y139" i="2" s="1"/>
  <c r="W138" i="2"/>
  <c r="Y138" i="2" s="1"/>
  <c r="W137" i="2"/>
  <c r="X137" i="2" s="1"/>
  <c r="W136" i="2"/>
  <c r="Y136" i="2" s="1"/>
  <c r="W135" i="2"/>
  <c r="X135" i="2" s="1"/>
  <c r="W134" i="2"/>
  <c r="Y134" i="2" s="1"/>
  <c r="W133" i="2"/>
  <c r="Y133" i="2" s="1"/>
  <c r="W132" i="2"/>
  <c r="X132" i="2" s="1"/>
  <c r="W131" i="2"/>
  <c r="Y131" i="2" s="1"/>
  <c r="W130" i="2"/>
  <c r="X130" i="2" s="1"/>
  <c r="W129" i="2"/>
  <c r="Y129" i="2" s="1"/>
  <c r="W128" i="2"/>
  <c r="Y128" i="2" s="1"/>
  <c r="W127" i="2"/>
  <c r="Y127" i="2" s="1"/>
  <c r="W126" i="2"/>
  <c r="X126" i="2" s="1"/>
  <c r="W125" i="2"/>
  <c r="X125" i="2" s="1"/>
  <c r="W124" i="2"/>
  <c r="X124" i="2" s="1"/>
  <c r="W123" i="2"/>
  <c r="Y123" i="2" s="1"/>
  <c r="W122" i="2"/>
  <c r="Y122" i="2" s="1"/>
  <c r="W121" i="2"/>
  <c r="X121" i="2" s="1"/>
  <c r="W120" i="2"/>
  <c r="Y120" i="2" s="1"/>
  <c r="W119" i="2"/>
  <c r="Y119" i="2" s="1"/>
  <c r="W118" i="2"/>
  <c r="Y118" i="2" s="1"/>
  <c r="W117" i="2"/>
  <c r="Y117" i="2" s="1"/>
  <c r="W116" i="2"/>
  <c r="Y116" i="2" s="1"/>
  <c r="W115" i="2"/>
  <c r="X115" i="2" s="1"/>
  <c r="W114" i="2"/>
  <c r="Y114" i="2" s="1"/>
  <c r="W113" i="2"/>
  <c r="X113" i="2" s="1"/>
  <c r="W112" i="2"/>
  <c r="X112" i="2" s="1"/>
  <c r="W111" i="2"/>
  <c r="Y111" i="2" s="1"/>
  <c r="W110" i="2"/>
  <c r="X110" i="2" s="1"/>
  <c r="W109" i="2"/>
  <c r="Y109" i="2" s="1"/>
  <c r="W108" i="2"/>
  <c r="Y108" i="2" s="1"/>
  <c r="W107" i="2"/>
  <c r="Y107" i="2" s="1"/>
  <c r="W106" i="2"/>
  <c r="Y106" i="2" s="1"/>
  <c r="W105" i="2"/>
  <c r="Y105" i="2" s="1"/>
  <c r="W104" i="2"/>
  <c r="X104" i="2" s="1"/>
  <c r="W103" i="2"/>
  <c r="Y103" i="2" s="1"/>
  <c r="W102" i="2"/>
  <c r="X102" i="2" s="1"/>
  <c r="W101" i="2"/>
  <c r="Y101" i="2" s="1"/>
  <c r="W100" i="2"/>
  <c r="Y100" i="2" s="1"/>
  <c r="W99" i="2"/>
  <c r="X99" i="2" s="1"/>
  <c r="W98" i="2"/>
  <c r="Y98" i="2" s="1"/>
  <c r="W97" i="2"/>
  <c r="Y97" i="2" s="1"/>
  <c r="W96" i="2"/>
  <c r="Y96" i="2" s="1"/>
  <c r="W95" i="2"/>
  <c r="Y95" i="2" s="1"/>
  <c r="W94" i="2"/>
  <c r="Y94" i="2" s="1"/>
  <c r="W93" i="2"/>
  <c r="X93" i="2" s="1"/>
  <c r="W92" i="2"/>
  <c r="X92" i="2" s="1"/>
  <c r="W91" i="2"/>
  <c r="X91" i="2" s="1"/>
  <c r="W90" i="2"/>
  <c r="X90" i="2" s="1"/>
  <c r="X89" i="2"/>
  <c r="W89" i="2"/>
  <c r="Y89" i="2" s="1"/>
  <c r="W88" i="2"/>
  <c r="X88" i="2" s="1"/>
  <c r="W87" i="2"/>
  <c r="Y87" i="2" s="1"/>
  <c r="W86" i="2"/>
  <c r="Y86" i="2" s="1"/>
  <c r="W85" i="2"/>
  <c r="Y85" i="2" s="1"/>
  <c r="W84" i="2"/>
  <c r="Y84" i="2" s="1"/>
  <c r="W83" i="2"/>
  <c r="Y83" i="2" s="1"/>
  <c r="W82" i="2"/>
  <c r="X82" i="2" s="1"/>
  <c r="W81" i="2"/>
  <c r="Y81" i="2" s="1"/>
  <c r="W80" i="2"/>
  <c r="X80" i="2" s="1"/>
  <c r="W79" i="2"/>
  <c r="X79" i="2" s="1"/>
  <c r="W78" i="2"/>
  <c r="Y78" i="2" s="1"/>
  <c r="W77" i="2"/>
  <c r="X77" i="2" s="1"/>
  <c r="W76" i="2"/>
  <c r="Y76" i="2" s="1"/>
  <c r="Y75" i="2"/>
  <c r="W75" i="2"/>
  <c r="X75" i="2" s="1"/>
  <c r="W74" i="2"/>
  <c r="Y74" i="2" s="1"/>
  <c r="X73" i="2"/>
  <c r="W73" i="2"/>
  <c r="Y73" i="2" s="1"/>
  <c r="W72" i="2"/>
  <c r="Y72" i="2" s="1"/>
  <c r="W71" i="2"/>
  <c r="X71" i="2" s="1"/>
  <c r="W70" i="2"/>
  <c r="Y70" i="2" s="1"/>
  <c r="W69" i="2"/>
  <c r="X69" i="2" s="1"/>
  <c r="W68" i="2"/>
  <c r="X68" i="2" s="1"/>
  <c r="W67" i="2"/>
  <c r="Y67" i="2" s="1"/>
  <c r="W66" i="2"/>
  <c r="X66" i="2" s="1"/>
  <c r="W65" i="2"/>
  <c r="Y65" i="2" s="1"/>
  <c r="Y64" i="2"/>
  <c r="X64" i="2"/>
  <c r="W64" i="2"/>
  <c r="W63" i="2"/>
  <c r="Y63" i="2" s="1"/>
  <c r="W62" i="2"/>
  <c r="Y62" i="2" s="1"/>
  <c r="W61" i="2"/>
  <c r="Y61" i="2" s="1"/>
  <c r="W60" i="2"/>
  <c r="X60" i="2" s="1"/>
  <c r="W59" i="2"/>
  <c r="Y59" i="2" s="1"/>
  <c r="W58" i="2"/>
  <c r="X58" i="2" s="1"/>
  <c r="W57" i="2"/>
  <c r="X57" i="2" s="1"/>
  <c r="W56" i="2"/>
  <c r="Y56" i="2" s="1"/>
  <c r="W55" i="2"/>
  <c r="X55" i="2" s="1"/>
  <c r="W54" i="2"/>
  <c r="Y54" i="2" s="1"/>
  <c r="W53" i="2"/>
  <c r="Y53" i="2" s="1"/>
  <c r="W52" i="2"/>
  <c r="Y52" i="2" s="1"/>
  <c r="W51" i="2"/>
  <c r="Y51" i="2" s="1"/>
  <c r="W50" i="2"/>
  <c r="Y50" i="2" s="1"/>
  <c r="W49" i="2"/>
  <c r="X49" i="2" s="1"/>
  <c r="Y48" i="2"/>
  <c r="W48" i="2"/>
  <c r="X48" i="2" s="1"/>
  <c r="W47" i="2"/>
  <c r="X47" i="2" s="1"/>
  <c r="W46" i="2"/>
  <c r="X46" i="2" s="1"/>
  <c r="W45" i="2"/>
  <c r="Y45" i="2" s="1"/>
  <c r="W44" i="2"/>
  <c r="X44" i="2" s="1"/>
  <c r="W43" i="2"/>
  <c r="Y43" i="2" s="1"/>
  <c r="W42" i="2"/>
  <c r="X42" i="2" s="1"/>
  <c r="W41" i="2"/>
  <c r="Y41" i="2" s="1"/>
  <c r="X40" i="2"/>
  <c r="W40" i="2"/>
  <c r="Y40" i="2" s="1"/>
  <c r="W39" i="2"/>
  <c r="X39" i="2" s="1"/>
  <c r="W38" i="2"/>
  <c r="X38" i="2" s="1"/>
  <c r="W37" i="2"/>
  <c r="X37" i="2" s="1"/>
  <c r="W36" i="2"/>
  <c r="X36" i="2" s="1"/>
  <c r="W35" i="2"/>
  <c r="Y35" i="2" s="1"/>
  <c r="W34" i="2"/>
  <c r="Y34" i="2" s="1"/>
  <c r="W33" i="2"/>
  <c r="X33" i="2" s="1"/>
  <c r="W32" i="2"/>
  <c r="Y32" i="2" s="1"/>
  <c r="W31" i="2"/>
  <c r="Y31" i="2" s="1"/>
  <c r="W30" i="2"/>
  <c r="Y30" i="2" s="1"/>
  <c r="W29" i="2"/>
  <c r="Y29" i="2" s="1"/>
  <c r="W28" i="2"/>
  <c r="X28" i="2" s="1"/>
  <c r="W27" i="2"/>
  <c r="X27" i="2" s="1"/>
  <c r="Y26" i="2"/>
  <c r="W26" i="2"/>
  <c r="X26" i="2" s="1"/>
  <c r="W25" i="2"/>
  <c r="X25" i="2" s="1"/>
  <c r="W24" i="2"/>
  <c r="Y24" i="2" s="1"/>
  <c r="W23" i="2"/>
  <c r="Y23" i="2" s="1"/>
  <c r="W22" i="2"/>
  <c r="X22" i="2" s="1"/>
  <c r="W21" i="2"/>
  <c r="Y21" i="2" s="1"/>
  <c r="W20" i="2"/>
  <c r="Y20" i="2" s="1"/>
  <c r="W19" i="2"/>
  <c r="Y19" i="2" s="1"/>
  <c r="W18" i="2"/>
  <c r="Y18" i="2" s="1"/>
  <c r="W17" i="2"/>
  <c r="Y17" i="2" s="1"/>
  <c r="W16" i="2"/>
  <c r="X16" i="2" s="1"/>
  <c r="W15" i="2"/>
  <c r="X15" i="2" s="1"/>
  <c r="W14" i="2"/>
  <c r="X14" i="2" s="1"/>
  <c r="W13" i="2"/>
  <c r="Y13" i="2" s="1"/>
  <c r="W12" i="2"/>
  <c r="Y12" i="2" s="1"/>
  <c r="W11" i="2"/>
  <c r="X11" i="2" s="1"/>
  <c r="W10" i="2"/>
  <c r="Y10" i="2" s="1"/>
  <c r="W9" i="2"/>
  <c r="X9" i="2" s="1"/>
  <c r="W8" i="2"/>
  <c r="Y8" i="2" s="1"/>
  <c r="W7" i="2"/>
  <c r="Y7" i="2" s="1"/>
  <c r="W6" i="2"/>
  <c r="Y6" i="2" s="1"/>
  <c r="W5" i="2"/>
  <c r="X5" i="2" s="1"/>
  <c r="W4" i="2"/>
  <c r="X4" i="2" s="1"/>
  <c r="W3" i="2"/>
  <c r="X3" i="2" s="1"/>
  <c r="W2" i="2"/>
  <c r="X7" i="2" l="1"/>
  <c r="Y15" i="2"/>
  <c r="X147" i="2"/>
  <c r="X163" i="2"/>
  <c r="X31" i="2"/>
  <c r="X196" i="2"/>
  <c r="Y9" i="2"/>
  <c r="X56" i="2"/>
  <c r="X108" i="2"/>
  <c r="Y115" i="2"/>
  <c r="X141" i="2"/>
  <c r="Y148" i="2"/>
  <c r="X172" i="2"/>
  <c r="X188" i="2"/>
  <c r="B11" i="3"/>
  <c r="X18" i="2"/>
  <c r="Y181" i="2"/>
  <c r="X51" i="2"/>
  <c r="Y92" i="2"/>
  <c r="X136" i="2"/>
  <c r="Y143" i="2"/>
  <c r="X174" i="2"/>
  <c r="X20" i="2"/>
  <c r="Y27" i="2"/>
  <c r="Y110" i="2"/>
  <c r="X128" i="2"/>
  <c r="Y5" i="2"/>
  <c r="Y37" i="2"/>
  <c r="X45" i="2"/>
  <c r="Y60" i="2"/>
  <c r="Y77" i="2"/>
  <c r="X86" i="2"/>
  <c r="X103" i="2"/>
  <c r="X161" i="2"/>
  <c r="X53" i="2"/>
  <c r="X111" i="2"/>
  <c r="Y137" i="2"/>
  <c r="X169" i="2"/>
  <c r="X185" i="2"/>
  <c r="Y22" i="2"/>
  <c r="Y38" i="2"/>
  <c r="X78" i="2"/>
  <c r="X95" i="2"/>
  <c r="Y121" i="2"/>
  <c r="Y130" i="2"/>
  <c r="X67" i="2"/>
  <c r="Y99" i="2"/>
  <c r="X23" i="2"/>
  <c r="Y93" i="2"/>
  <c r="X106" i="2"/>
  <c r="X119" i="2"/>
  <c r="Y125" i="2"/>
  <c r="X144" i="2"/>
  <c r="Y176" i="2"/>
  <c r="Y4" i="2"/>
  <c r="Y42" i="2"/>
  <c r="Y55" i="2"/>
  <c r="X81" i="2"/>
  <c r="Y11" i="2"/>
  <c r="Y49" i="2"/>
  <c r="X62" i="2"/>
  <c r="X100" i="2"/>
  <c r="Y132" i="2"/>
  <c r="X158" i="2"/>
  <c r="Y170" i="2"/>
  <c r="X183" i="2"/>
  <c r="Y88" i="2"/>
  <c r="X114" i="2"/>
  <c r="Y126" i="2"/>
  <c r="X139" i="2"/>
  <c r="X152" i="2"/>
  <c r="X177" i="2"/>
  <c r="Y16" i="2"/>
  <c r="X29" i="2"/>
  <c r="X12" i="2"/>
  <c r="Y44" i="2"/>
  <c r="X70" i="2"/>
  <c r="Y82" i="2"/>
  <c r="X133" i="2"/>
  <c r="Y165" i="2"/>
  <c r="X191" i="2"/>
  <c r="Y33" i="2"/>
  <c r="X59" i="2"/>
  <c r="Y71" i="2"/>
  <c r="X84" i="2"/>
  <c r="X97" i="2"/>
  <c r="X122" i="2"/>
  <c r="Y154" i="2"/>
  <c r="X180" i="2"/>
  <c r="Y192" i="2"/>
  <c r="X34" i="2"/>
  <c r="Y66" i="2"/>
  <c r="Y104" i="2"/>
  <c r="X117" i="2"/>
  <c r="X155" i="2"/>
  <c r="Y187" i="2"/>
  <c r="X194" i="2"/>
  <c r="Y201" i="2"/>
  <c r="X24" i="2"/>
  <c r="X35" i="2"/>
  <c r="X123" i="2"/>
  <c r="X134" i="2"/>
  <c r="X156" i="2"/>
  <c r="X167" i="2"/>
  <c r="X6" i="2"/>
  <c r="Y46" i="2"/>
  <c r="Y57" i="2"/>
  <c r="Y68" i="2"/>
  <c r="Y79" i="2"/>
  <c r="Y90" i="2"/>
  <c r="X138" i="2"/>
  <c r="X193" i="2"/>
  <c r="X10" i="2"/>
  <c r="Y28" i="2"/>
  <c r="X32" i="2"/>
  <c r="Y39" i="2"/>
  <c r="X43" i="2"/>
  <c r="X54" i="2"/>
  <c r="Y3" i="2"/>
  <c r="Y14" i="2"/>
  <c r="Y25" i="2"/>
  <c r="Y36" i="2"/>
  <c r="Y47" i="2"/>
  <c r="Y58" i="2"/>
  <c r="Y69" i="2"/>
  <c r="Y80" i="2"/>
  <c r="Y91" i="2"/>
  <c r="Y102" i="2"/>
  <c r="Y113" i="2"/>
  <c r="Y124" i="2"/>
  <c r="Y135" i="2"/>
  <c r="Y146" i="2"/>
  <c r="Y157" i="2"/>
  <c r="Y168" i="2"/>
  <c r="Y179" i="2"/>
  <c r="Y190" i="2"/>
  <c r="X198" i="2"/>
  <c r="B5" i="3"/>
  <c r="X13" i="2"/>
  <c r="X145" i="2"/>
  <c r="X178" i="2"/>
  <c r="X189" i="2"/>
  <c r="X94" i="2"/>
  <c r="X105" i="2"/>
  <c r="Y112" i="2"/>
  <c r="X149" i="2"/>
  <c r="X8" i="2"/>
  <c r="X19" i="2"/>
  <c r="X30" i="2"/>
  <c r="X41" i="2"/>
  <c r="X52" i="2"/>
  <c r="X63" i="2"/>
  <c r="X74" i="2"/>
  <c r="X85" i="2"/>
  <c r="X96" i="2"/>
  <c r="X107" i="2"/>
  <c r="X118" i="2"/>
  <c r="X129" i="2"/>
  <c r="X140" i="2"/>
  <c r="X151" i="2"/>
  <c r="X162" i="2"/>
  <c r="X173" i="2"/>
  <c r="X184" i="2"/>
  <c r="X195" i="2"/>
  <c r="B6" i="3"/>
  <c r="Y2" i="2"/>
  <c r="X50" i="2"/>
  <c r="X83" i="2"/>
  <c r="X199" i="2"/>
  <c r="B7" i="3"/>
  <c r="X2" i="2"/>
  <c r="X17" i="2"/>
  <c r="X61" i="2"/>
  <c r="X72" i="2"/>
  <c r="X160" i="2"/>
  <c r="X171" i="2"/>
  <c r="B8" i="3"/>
  <c r="B9" i="3"/>
  <c r="X200" i="2"/>
  <c r="X101" i="2"/>
  <c r="X116" i="2"/>
  <c r="X127" i="2"/>
  <c r="X182" i="2"/>
  <c r="X21" i="2"/>
  <c r="X65" i="2"/>
  <c r="X76" i="2"/>
  <c r="X87" i="2"/>
  <c r="X98" i="2"/>
  <c r="X109" i="2"/>
  <c r="X120" i="2"/>
  <c r="X131" i="2"/>
  <c r="X142" i="2"/>
  <c r="X153" i="2"/>
  <c r="X164" i="2"/>
  <c r="X175" i="2"/>
  <c r="X186" i="2"/>
  <c r="X197" i="2"/>
</calcChain>
</file>

<file path=xl/sharedStrings.xml><?xml version="1.0" encoding="utf-8"?>
<sst xmlns="http://schemas.openxmlformats.org/spreadsheetml/2006/main" count="359" uniqueCount="327">
  <si>
    <t>Lists (do not edit unless customizing)</t>
  </si>
  <si>
    <t>YesNo</t>
  </si>
  <si>
    <t>BusinessFunction</t>
  </si>
  <si>
    <t>UseCaseArchetype</t>
  </si>
  <si>
    <t>BuildType</t>
  </si>
  <si>
    <t>Role</t>
  </si>
  <si>
    <t>Environment</t>
  </si>
  <si>
    <t>EndUsers</t>
  </si>
  <si>
    <t>DataSource</t>
  </si>
  <si>
    <t>Yes</t>
  </si>
  <si>
    <t>IT</t>
  </si>
  <si>
    <t>Customer support chatbot</t>
  </si>
  <si>
    <t>In-house</t>
  </si>
  <si>
    <t>Provider</t>
  </si>
  <si>
    <t>PoC</t>
  </si>
  <si>
    <t>Employees</t>
  </si>
  <si>
    <t>Employee data</t>
  </si>
  <si>
    <t>RiskCategory</t>
  </si>
  <si>
    <t>Priority</t>
  </si>
  <si>
    <t>SuggestedNextAction</t>
  </si>
  <si>
    <t>KeyDeliverables</t>
  </si>
  <si>
    <t>No</t>
  </si>
  <si>
    <t>Data/AI</t>
  </si>
  <si>
    <t>Internal employee assistant</t>
  </si>
  <si>
    <t>Vendor/SaaS</t>
  </si>
  <si>
    <t>Deployer</t>
  </si>
  <si>
    <t>Pilot</t>
  </si>
  <si>
    <t>Customers</t>
  </si>
  <si>
    <t>Customer data</t>
  </si>
  <si>
    <t>Prohibited</t>
  </si>
  <si>
    <t>P0</t>
  </si>
  <si>
    <t>Stop / legal review immediately; remove prohibited features.</t>
  </si>
  <si>
    <t>Legal assessment; decision log; remediation plan</t>
  </si>
  <si>
    <t>Unknown</t>
  </si>
  <si>
    <t>HR</t>
  </si>
  <si>
    <t>Marketing content generation</t>
  </si>
  <si>
    <t>Hybrid</t>
  </si>
  <si>
    <t>Both</t>
  </si>
  <si>
    <t>Production</t>
  </si>
  <si>
    <t>Public users</t>
  </si>
  <si>
    <t>Public web</t>
  </si>
  <si>
    <t>High-risk</t>
  </si>
  <si>
    <t>P1</t>
  </si>
  <si>
    <t>Start conformity &amp; governance plan; appoint owner; begin risk mgmt + DPIA.</t>
  </si>
  <si>
    <t>AI inventory; risk mgmt file; technical docs; human oversight; monitoring; DPIA</t>
  </si>
  <si>
    <t>Legal/Compliance</t>
  </si>
  <si>
    <t>HR screening / hiring</t>
  </si>
  <si>
    <t>Decommissioned</t>
  </si>
  <si>
    <t>Partners/Suppliers</t>
  </si>
  <si>
    <t>Third-party dataset</t>
  </si>
  <si>
    <t>Limited risk</t>
  </si>
  <si>
    <t>P2</t>
  </si>
  <si>
    <t>Add transparency, labeling, user notice; strengthen logging &amp; red-teaming.</t>
  </si>
  <si>
    <t>User notice; content labeling; prompts/guardrails; logging; incident playbook</t>
  </si>
  <si>
    <t>Finance</t>
  </si>
  <si>
    <t>Credit scoring / eligibility</t>
  </si>
  <si>
    <t>Mixed/Other</t>
  </si>
  <si>
    <t>Internal docs/KB</t>
  </si>
  <si>
    <t>Minimal/Other</t>
  </si>
  <si>
    <t>P3</t>
  </si>
  <si>
    <t>Basic governance: inventory + policy; monitor for scope creep.</t>
  </si>
  <si>
    <t>AI policy; inventory; periodic review</t>
  </si>
  <si>
    <t>Operations</t>
  </si>
  <si>
    <t>Fraud detection</t>
  </si>
  <si>
    <t>Clarify use case, role, and decision impact; run triage workshop.</t>
  </si>
  <si>
    <t>Completed inventory; decision tree notes</t>
  </si>
  <si>
    <t>Customer Service</t>
  </si>
  <si>
    <t>Biometric access control</t>
  </si>
  <si>
    <t>Marketing</t>
  </si>
  <si>
    <t>Safety component decision support</t>
  </si>
  <si>
    <t>Sales</t>
  </si>
  <si>
    <t>Document summarization</t>
  </si>
  <si>
    <t>Product</t>
  </si>
  <si>
    <t>Other</t>
  </si>
  <si>
    <t>DefaultRisk</t>
  </si>
  <si>
    <t>Notes</t>
  </si>
  <si>
    <t>Security</t>
  </si>
  <si>
    <t>Transparency + user notice usually required</t>
  </si>
  <si>
    <t>Often personal data; assess HR/monitoring use</t>
  </si>
  <si>
    <t>Label AI-generated content where applicable; IP checks</t>
  </si>
  <si>
    <t>Annex III employment-related systems are typically high-risk</t>
  </si>
  <si>
    <t>Annex III access to essential services/credit is typically high-risk</t>
  </si>
  <si>
    <t>Often essential services; confirm domain and decision impact</t>
  </si>
  <si>
    <t>Biometric categorisation/ID can trigger high-risk or prohibited cases</t>
  </si>
  <si>
    <t>Safety components in products/infrastructure can be high-risk</t>
  </si>
  <si>
    <t>Usually minimal if no decisions; ensure data/privacy controls</t>
  </si>
  <si>
    <t>Needs manual triage</t>
  </si>
  <si>
    <t>Record ID</t>
  </si>
  <si>
    <t>Use case / System name</t>
  </si>
  <si>
    <t>Short description</t>
  </si>
  <si>
    <t>Business function</t>
  </si>
  <si>
    <t>Use case archetype</t>
  </si>
  <si>
    <t>Owner (person/team)</t>
  </si>
  <si>
    <t>Build type</t>
  </si>
  <si>
    <t>Role (Provider/Deployer)</t>
  </si>
  <si>
    <t>End users</t>
  </si>
  <si>
    <t>Automated decision with legal/similar significant effect?</t>
  </si>
  <si>
    <t>HR / Education domain?</t>
  </si>
  <si>
    <t>Credit / Insurance / Eligibility domain?</t>
  </si>
  <si>
    <t>Biometric identification / categorisation?</t>
  </si>
  <si>
    <t>Critical infrastructure / safety component?</t>
  </si>
  <si>
    <t>Law enforcement / migration / justice domain?</t>
  </si>
  <si>
    <t>Manipulative / exploit vulnerabilities?</t>
  </si>
  <si>
    <t>Social scoring?</t>
  </si>
  <si>
    <t>Real-time remote biometric ID in public spaces?</t>
  </si>
  <si>
    <t>Personal data processed?</t>
  </si>
  <si>
    <t>Special categories of data (health/biometric/etc.)?</t>
  </si>
  <si>
    <t>Primary data source</t>
  </si>
  <si>
    <t>Computed: AI Act risk category</t>
  </si>
  <si>
    <t>Computed: Priority</t>
  </si>
  <si>
    <t>Computed: Suggested next action</t>
  </si>
  <si>
    <t>Notes / Links</t>
  </si>
  <si>
    <t>AI-001</t>
  </si>
  <si>
    <t>AI-002</t>
  </si>
  <si>
    <t>AI-003</t>
  </si>
  <si>
    <t>AI-004</t>
  </si>
  <si>
    <t>AI-005</t>
  </si>
  <si>
    <t>AI-006</t>
  </si>
  <si>
    <t>AI-007</t>
  </si>
  <si>
    <t>AI-008</t>
  </si>
  <si>
    <t>AI-009</t>
  </si>
  <si>
    <t>AI-010</t>
  </si>
  <si>
    <t>AI-011</t>
  </si>
  <si>
    <t>AI-012</t>
  </si>
  <si>
    <t>AI-013</t>
  </si>
  <si>
    <t>AI-014</t>
  </si>
  <si>
    <t>AI-015</t>
  </si>
  <si>
    <t>AI-016</t>
  </si>
  <si>
    <t>AI-017</t>
  </si>
  <si>
    <t>AI-018</t>
  </si>
  <si>
    <t>AI-019</t>
  </si>
  <si>
    <t>AI-020</t>
  </si>
  <si>
    <t>AI-021</t>
  </si>
  <si>
    <t>AI-022</t>
  </si>
  <si>
    <t>AI-023</t>
  </si>
  <si>
    <t>AI-024</t>
  </si>
  <si>
    <t>AI-025</t>
  </si>
  <si>
    <t>AI-026</t>
  </si>
  <si>
    <t>AI-027</t>
  </si>
  <si>
    <t>AI-028</t>
  </si>
  <si>
    <t>AI-029</t>
  </si>
  <si>
    <t>AI-030</t>
  </si>
  <si>
    <t>AI-031</t>
  </si>
  <si>
    <t>AI-032</t>
  </si>
  <si>
    <t>AI-033</t>
  </si>
  <si>
    <t>AI-034</t>
  </si>
  <si>
    <t>AI-035</t>
  </si>
  <si>
    <t>AI-036</t>
  </si>
  <si>
    <t>AI-037</t>
  </si>
  <si>
    <t>AI-038</t>
  </si>
  <si>
    <t>AI-039</t>
  </si>
  <si>
    <t>AI-040</t>
  </si>
  <si>
    <t>AI-041</t>
  </si>
  <si>
    <t>AI-042</t>
  </si>
  <si>
    <t>AI-043</t>
  </si>
  <si>
    <t>AI-044</t>
  </si>
  <si>
    <t>AI-045</t>
  </si>
  <si>
    <t>AI-046</t>
  </si>
  <si>
    <t>AI-047</t>
  </si>
  <si>
    <t>AI-048</t>
  </si>
  <si>
    <t>AI-049</t>
  </si>
  <si>
    <t>AI-050</t>
  </si>
  <si>
    <t>AI-051</t>
  </si>
  <si>
    <t>AI-052</t>
  </si>
  <si>
    <t>AI-053</t>
  </si>
  <si>
    <t>AI-054</t>
  </si>
  <si>
    <t>AI-055</t>
  </si>
  <si>
    <t>AI-056</t>
  </si>
  <si>
    <t>AI-057</t>
  </si>
  <si>
    <t>AI-058</t>
  </si>
  <si>
    <t>AI-059</t>
  </si>
  <si>
    <t>AI-060</t>
  </si>
  <si>
    <t>AI-061</t>
  </si>
  <si>
    <t>AI-062</t>
  </si>
  <si>
    <t>AI-063</t>
  </si>
  <si>
    <t>AI-064</t>
  </si>
  <si>
    <t>AI-065</t>
  </si>
  <si>
    <t>AI-066</t>
  </si>
  <si>
    <t>AI-067</t>
  </si>
  <si>
    <t>AI-068</t>
  </si>
  <si>
    <t>AI-069</t>
  </si>
  <si>
    <t>AI-070</t>
  </si>
  <si>
    <t>AI-071</t>
  </si>
  <si>
    <t>AI-072</t>
  </si>
  <si>
    <t>AI-073</t>
  </si>
  <si>
    <t>AI-074</t>
  </si>
  <si>
    <t>AI-075</t>
  </si>
  <si>
    <t>AI-076</t>
  </si>
  <si>
    <t>AI-077</t>
  </si>
  <si>
    <t>AI-078</t>
  </si>
  <si>
    <t>AI-079</t>
  </si>
  <si>
    <t>AI-080</t>
  </si>
  <si>
    <t>AI-081</t>
  </si>
  <si>
    <t>AI-082</t>
  </si>
  <si>
    <t>AI-083</t>
  </si>
  <si>
    <t>AI-084</t>
  </si>
  <si>
    <t>AI-085</t>
  </si>
  <si>
    <t>AI-086</t>
  </si>
  <si>
    <t>AI-087</t>
  </si>
  <si>
    <t>AI-088</t>
  </si>
  <si>
    <t>AI-089</t>
  </si>
  <si>
    <t>AI-090</t>
  </si>
  <si>
    <t>AI-091</t>
  </si>
  <si>
    <t>AI-092</t>
  </si>
  <si>
    <t>AI-093</t>
  </si>
  <si>
    <t>AI-094</t>
  </si>
  <si>
    <t>AI-095</t>
  </si>
  <si>
    <t>AI-096</t>
  </si>
  <si>
    <t>AI-097</t>
  </si>
  <si>
    <t>AI-098</t>
  </si>
  <si>
    <t>AI-099</t>
  </si>
  <si>
    <t>AI-100</t>
  </si>
  <si>
    <t>AI-101</t>
  </si>
  <si>
    <t>AI-102</t>
  </si>
  <si>
    <t>AI-103</t>
  </si>
  <si>
    <t>AI-104</t>
  </si>
  <si>
    <t>AI-105</t>
  </si>
  <si>
    <t>AI-106</t>
  </si>
  <si>
    <t>AI-107</t>
  </si>
  <si>
    <t>AI-108</t>
  </si>
  <si>
    <t>AI-109</t>
  </si>
  <si>
    <t>AI-110</t>
  </si>
  <si>
    <t>AI-111</t>
  </si>
  <si>
    <t>AI-112</t>
  </si>
  <si>
    <t>AI-113</t>
  </si>
  <si>
    <t>AI-114</t>
  </si>
  <si>
    <t>AI-115</t>
  </si>
  <si>
    <t>AI-116</t>
  </si>
  <si>
    <t>AI-117</t>
  </si>
  <si>
    <t>AI-118</t>
  </si>
  <si>
    <t>AI-119</t>
  </si>
  <si>
    <t>AI-120</t>
  </si>
  <si>
    <t>AI-121</t>
  </si>
  <si>
    <t>AI-122</t>
  </si>
  <si>
    <t>AI-123</t>
  </si>
  <si>
    <t>AI-124</t>
  </si>
  <si>
    <t>AI-125</t>
  </si>
  <si>
    <t>AI-126</t>
  </si>
  <si>
    <t>AI-127</t>
  </si>
  <si>
    <t>AI-128</t>
  </si>
  <si>
    <t>AI-129</t>
  </si>
  <si>
    <t>AI-130</t>
  </si>
  <si>
    <t>AI-131</t>
  </si>
  <si>
    <t>AI-132</t>
  </si>
  <si>
    <t>AI-133</t>
  </si>
  <si>
    <t>AI-134</t>
  </si>
  <si>
    <t>AI-135</t>
  </si>
  <si>
    <t>AI-136</t>
  </si>
  <si>
    <t>AI-137</t>
  </si>
  <si>
    <t>AI-138</t>
  </si>
  <si>
    <t>AI-139</t>
  </si>
  <si>
    <t>AI-140</t>
  </si>
  <si>
    <t>AI-141</t>
  </si>
  <si>
    <t>AI-142</t>
  </si>
  <si>
    <t>AI-143</t>
  </si>
  <si>
    <t>AI-144</t>
  </si>
  <si>
    <t>AI-145</t>
  </si>
  <si>
    <t>AI-146</t>
  </si>
  <si>
    <t>AI-147</t>
  </si>
  <si>
    <t>AI-148</t>
  </si>
  <si>
    <t>AI-149</t>
  </si>
  <si>
    <t>AI-150</t>
  </si>
  <si>
    <t>AI-151</t>
  </si>
  <si>
    <t>AI-152</t>
  </si>
  <si>
    <t>AI-153</t>
  </si>
  <si>
    <t>AI-154</t>
  </si>
  <si>
    <t>AI-155</t>
  </si>
  <si>
    <t>AI-156</t>
  </si>
  <si>
    <t>AI-157</t>
  </si>
  <si>
    <t>AI-158</t>
  </si>
  <si>
    <t>AI-159</t>
  </si>
  <si>
    <t>AI-160</t>
  </si>
  <si>
    <t>AI-161</t>
  </si>
  <si>
    <t>AI-162</t>
  </si>
  <si>
    <t>AI-163</t>
  </si>
  <si>
    <t>AI-164</t>
  </si>
  <si>
    <t>AI-165</t>
  </si>
  <si>
    <t>AI-166</t>
  </si>
  <si>
    <t>AI-167</t>
  </si>
  <si>
    <t>AI-168</t>
  </si>
  <si>
    <t>AI-169</t>
  </si>
  <si>
    <t>AI-170</t>
  </si>
  <si>
    <t>AI-171</t>
  </si>
  <si>
    <t>AI-172</t>
  </si>
  <si>
    <t>AI-173</t>
  </si>
  <si>
    <t>AI-174</t>
  </si>
  <si>
    <t>AI-175</t>
  </si>
  <si>
    <t>AI-176</t>
  </si>
  <si>
    <t>AI-177</t>
  </si>
  <si>
    <t>AI-178</t>
  </si>
  <si>
    <t>AI-179</t>
  </si>
  <si>
    <t>AI-180</t>
  </si>
  <si>
    <t>AI-181</t>
  </si>
  <si>
    <t>AI-182</t>
  </si>
  <si>
    <t>AI-183</t>
  </si>
  <si>
    <t>AI-184</t>
  </si>
  <si>
    <t>AI-185</t>
  </si>
  <si>
    <t>AI-186</t>
  </si>
  <si>
    <t>AI-187</t>
  </si>
  <si>
    <t>AI-188</t>
  </si>
  <si>
    <t>AI-189</t>
  </si>
  <si>
    <t>AI-190</t>
  </si>
  <si>
    <t>AI-191</t>
  </si>
  <si>
    <t>AI-192</t>
  </si>
  <si>
    <t>AI-193</t>
  </si>
  <si>
    <t>AI-194</t>
  </si>
  <si>
    <t>AI-195</t>
  </si>
  <si>
    <t>AI-196</t>
  </si>
  <si>
    <t>AI-197</t>
  </si>
  <si>
    <t>AI-198</t>
  </si>
  <si>
    <t>AI-199</t>
  </si>
  <si>
    <t>AI-200</t>
  </si>
  <si>
    <t>Portfolio overview (auto)</t>
  </si>
  <si>
    <t>Metric</t>
  </si>
  <si>
    <t>Count</t>
  </si>
  <si>
    <t>Total filled use cases</t>
  </si>
  <si>
    <t>Production systems</t>
  </si>
  <si>
    <t>High-risk in production</t>
  </si>
  <si>
    <t>Personal data processed</t>
  </si>
  <si>
    <t>Special categories data</t>
  </si>
  <si>
    <t>AI Inventory &amp; Risk Triage Sheet</t>
  </si>
  <si>
    <t>How to use</t>
  </si>
  <si>
    <t>1) Go to AI_Inventory. Each row = one AI system/use case.</t>
  </si>
  <si>
    <t>2) Fill the light-blue columns (many are dropdowns).</t>
  </si>
  <si>
    <t>3) Columns W (risk), X (priority), Y (suggested next action) auto-fill via formulas.</t>
  </si>
  <si>
    <t>4) Check Risk_Triage for portfolio counts.</t>
  </si>
  <si>
    <t>If dropdowns don't appear: ensure you're opening in Microsoft Excel (desktop/web). Some viewers strip data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</si>
</sst>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8"/>
  <sheetViews>
    <sheetView workbookViewId="0"/>
  </sheetViews>
  <sheetFormatPr baseColWidth="10" defaultColWidth="8.83203125" defaultRowHeight="15" x14ac:dyDescent="0.2"/>
  <cols>
    <col min="1" max="1" width="95" customWidth="1"/>
  </cols>
  <sheetData>
    <row r="1" spans="1:1" ht="21" x14ac:dyDescent="0.25">
      <c r="A1" s="8" t="s">
        <v>320</v>
      </c>
    </row>
    <row r="3" spans="1:1" ht="16" x14ac:dyDescent="0.2">
      <c r="A3" s="1" t="s">
        <v>321</v>
      </c>
    </row>
    <row r="4" spans="1:1" ht="16" x14ac:dyDescent="0.2">
      <c r="A4" s="7" t="s">
        <v>322</v>
      </c>
    </row>
    <row r="5" spans="1:1" ht="16" x14ac:dyDescent="0.2">
      <c r="A5" s="7" t="s">
        <v>323</v>
      </c>
    </row>
    <row r="6" spans="1:1" ht="16" x14ac:dyDescent="0.2">
      <c r="A6" s="7" t="s">
        <v>324</v>
      </c>
    </row>
    <row r="7" spans="1:1" ht="16" x14ac:dyDescent="0.2">
      <c r="A7" s="7" t="s">
        <v>325</v>
      </c>
    </row>
    <row r="8" spans="1:1" ht="16" x14ac:dyDescent="0.2">
      <c r="A8" s="7" t="s">
        <v>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1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40" customWidth="1"/>
    <col min="4" max="4" width="18" customWidth="1"/>
    <col min="5" max="5" width="26" customWidth="1"/>
    <col min="6" max="6" width="20" customWidth="1"/>
    <col min="7" max="7" width="14" customWidth="1"/>
    <col min="8" max="8" width="18" customWidth="1"/>
    <col min="9" max="9" width="12" customWidth="1"/>
    <col min="10" max="10" width="14" customWidth="1"/>
    <col min="11" max="11" width="18" customWidth="1"/>
    <col min="12" max="12" width="16" customWidth="1"/>
    <col min="13" max="14" width="20" customWidth="1"/>
    <col min="15" max="16" width="24" customWidth="1"/>
    <col min="17" max="17" width="20" customWidth="1"/>
    <col min="18" max="18" width="14" customWidth="1"/>
    <col min="19" max="19" width="30" customWidth="1"/>
    <col min="20" max="20" width="18" customWidth="1"/>
    <col min="21" max="21" width="24" customWidth="1"/>
    <col min="22" max="22" width="18" customWidth="1"/>
    <col min="23" max="23" width="22" customWidth="1"/>
    <col min="24" max="24" width="12" customWidth="1"/>
    <col min="25" max="25" width="40" customWidth="1"/>
    <col min="26" max="26" width="26" customWidth="1"/>
  </cols>
  <sheetData>
    <row r="1" spans="1:26" ht="48" x14ac:dyDescent="0.2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6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2" t="s">
        <v>104</v>
      </c>
      <c r="T1" s="2" t="s">
        <v>105</v>
      </c>
      <c r="U1" s="2" t="s">
        <v>106</v>
      </c>
      <c r="V1" s="2" t="s">
        <v>107</v>
      </c>
      <c r="W1" s="2" t="s">
        <v>108</v>
      </c>
      <c r="X1" s="2" t="s">
        <v>109</v>
      </c>
      <c r="Y1" s="2" t="s">
        <v>110</v>
      </c>
      <c r="Z1" s="2" t="s">
        <v>111</v>
      </c>
    </row>
    <row r="2" spans="1:26" ht="16" x14ac:dyDescent="0.2">
      <c r="A2" s="3" t="s">
        <v>112</v>
      </c>
      <c r="B2" s="3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 t="str">
        <f ca="1">IF(OR(Q2="Yes",R2="Yes",S2="Yes"),"Prohibited",IF(OR(L2="Yes",M2="Yes",N2="Yes",O2="Yes",P2="Yes"),"High-risk",IFERROR(_xludf.XLOOKUP(E2,Lookups!$Q$14:$Q$23,Lookups!$R$14:$R$23,"Unknown"),IFERROR(VLOOKUP(E2,Lookups!$Q$14:$R$23,2,FALSE),"Unknown"))))</f>
        <v>Unknown</v>
      </c>
      <c r="X2" s="5" t="str">
        <f ca="1">IFERROR(_xludf.XLOOKUP(W2,Lookups!$Q$5:$Q$9,Lookups!$R$5:$R$9,"P2"),IFERROR(VLOOKUP(W2,Lookups!$Q$5:$R$9,2,FALSE),"P2"))</f>
        <v>P2</v>
      </c>
      <c r="Y2" s="5" t="str">
        <f ca="1">IFERROR(_xludf.XLOOKUP(W2,Lookups!$Q$5:$Q$9,Lookups!$S$5:$S$9,"Clarify triage"),IFERROR(VLOOKUP(W2,Lookups!$Q$5:$S$9,3,FALSE),"Clarify triage"))</f>
        <v>Clarify use case, role, and decision impact; run triage workshop.</v>
      </c>
      <c r="Z2" s="4"/>
    </row>
    <row r="3" spans="1:26" ht="16" x14ac:dyDescent="0.2">
      <c r="A3" s="3" t="s">
        <v>113</v>
      </c>
      <c r="B3" s="3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5" t="str">
        <f ca="1">IF(OR(Q3="Yes",R3="Yes",S3="Yes"),"Prohibited",IF(OR(L3="Yes",M3="Yes",N3="Yes",O3="Yes",P3="Yes"),"High-risk",IFERROR(_xludf.XLOOKUP(E3,Lookups!$Q$14:$Q$23,Lookups!$R$14:$R$23,"Unknown"),IFERROR(VLOOKUP(E3,Lookups!$Q$14:$R$23,2,FALSE),"Unknown"))))</f>
        <v>Unknown</v>
      </c>
      <c r="X3" s="5" t="str">
        <f ca="1">IFERROR(_xludf.XLOOKUP(W3,Lookups!$Q$5:$Q$9,Lookups!$R$5:$R$9,"P2"),IFERROR(VLOOKUP(W3,Lookups!$Q$5:$R$9,2,FALSE),"P2"))</f>
        <v>P2</v>
      </c>
      <c r="Y3" s="5" t="str">
        <f ca="1">IFERROR(_xludf.XLOOKUP(W3,Lookups!$Q$5:$Q$9,Lookups!$S$5:$S$9,"Clarify triage"),IFERROR(VLOOKUP(W3,Lookups!$Q$5:$S$9,3,FALSE),"Clarify triage"))</f>
        <v>Clarify use case, role, and decision impact; run triage workshop.</v>
      </c>
      <c r="Z3" s="4"/>
    </row>
    <row r="4" spans="1:26" ht="16" x14ac:dyDescent="0.2">
      <c r="A4" s="3" t="s">
        <v>114</v>
      </c>
      <c r="B4" s="3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tr">
        <f ca="1">IF(OR(Q4="Yes",R4="Yes",S4="Yes"),"Prohibited",IF(OR(L4="Yes",M4="Yes",N4="Yes",O4="Yes",P4="Yes"),"High-risk",IFERROR(_xludf.XLOOKUP(E4,Lookups!$Q$14:$Q$23,Lookups!$R$14:$R$23,"Unknown"),IFERROR(VLOOKUP(E4,Lookups!$Q$14:$R$23,2,FALSE),"Unknown"))))</f>
        <v>Unknown</v>
      </c>
      <c r="X4" s="5" t="str">
        <f ca="1">IFERROR(_xludf.XLOOKUP(W4,Lookups!$Q$5:$Q$9,Lookups!$R$5:$R$9,"P2"),IFERROR(VLOOKUP(W4,Lookups!$Q$5:$R$9,2,FALSE),"P2"))</f>
        <v>P2</v>
      </c>
      <c r="Y4" s="5" t="str">
        <f ca="1">IFERROR(_xludf.XLOOKUP(W4,Lookups!$Q$5:$Q$9,Lookups!$S$5:$S$9,"Clarify triage"),IFERROR(VLOOKUP(W4,Lookups!$Q$5:$S$9,3,FALSE),"Clarify triage"))</f>
        <v>Clarify use case, role, and decision impact; run triage workshop.</v>
      </c>
      <c r="Z4" s="4"/>
    </row>
    <row r="5" spans="1:26" ht="16" x14ac:dyDescent="0.2">
      <c r="A5" s="3" t="s">
        <v>115</v>
      </c>
      <c r="B5" s="3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 t="str">
        <f ca="1">IF(OR(Q5="Yes",R5="Yes",S5="Yes"),"Prohibited",IF(OR(L5="Yes",M5="Yes",N5="Yes",O5="Yes",P5="Yes"),"High-risk",IFERROR(_xludf.XLOOKUP(E5,Lookups!$Q$14:$Q$23,Lookups!$R$14:$R$23,"Unknown"),IFERROR(VLOOKUP(E5,Lookups!$Q$14:$R$23,2,FALSE),"Unknown"))))</f>
        <v>Unknown</v>
      </c>
      <c r="X5" s="5" t="str">
        <f ca="1">IFERROR(_xludf.XLOOKUP(W5,Lookups!$Q$5:$Q$9,Lookups!$R$5:$R$9,"P2"),IFERROR(VLOOKUP(W5,Lookups!$Q$5:$R$9,2,FALSE),"P2"))</f>
        <v>P2</v>
      </c>
      <c r="Y5" s="5" t="str">
        <f ca="1">IFERROR(_xludf.XLOOKUP(W5,Lookups!$Q$5:$Q$9,Lookups!$S$5:$S$9,"Clarify triage"),IFERROR(VLOOKUP(W5,Lookups!$Q$5:$S$9,3,FALSE),"Clarify triage"))</f>
        <v>Clarify use case, role, and decision impact; run triage workshop.</v>
      </c>
      <c r="Z5" s="4"/>
    </row>
    <row r="6" spans="1:26" ht="16" x14ac:dyDescent="0.2">
      <c r="A6" s="3" t="s">
        <v>116</v>
      </c>
      <c r="B6" s="3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 t="str">
        <f ca="1">IF(OR(Q6="Yes",R6="Yes",S6="Yes"),"Prohibited",IF(OR(L6="Yes",M6="Yes",N6="Yes",O6="Yes",P6="Yes"),"High-risk",IFERROR(_xludf.XLOOKUP(E6,Lookups!$Q$14:$Q$23,Lookups!$R$14:$R$23,"Unknown"),IFERROR(VLOOKUP(E6,Lookups!$Q$14:$R$23,2,FALSE),"Unknown"))))</f>
        <v>Unknown</v>
      </c>
      <c r="X6" s="5" t="str">
        <f ca="1">IFERROR(_xludf.XLOOKUP(W6,Lookups!$Q$5:$Q$9,Lookups!$R$5:$R$9,"P2"),IFERROR(VLOOKUP(W6,Lookups!$Q$5:$R$9,2,FALSE),"P2"))</f>
        <v>P2</v>
      </c>
      <c r="Y6" s="5" t="str">
        <f ca="1">IFERROR(_xludf.XLOOKUP(W6,Lookups!$Q$5:$Q$9,Lookups!$S$5:$S$9,"Clarify triage"),IFERROR(VLOOKUP(W6,Lookups!$Q$5:$S$9,3,FALSE),"Clarify triage"))</f>
        <v>Clarify use case, role, and decision impact; run triage workshop.</v>
      </c>
      <c r="Z6" s="4"/>
    </row>
    <row r="7" spans="1:26" ht="16" x14ac:dyDescent="0.2">
      <c r="A7" s="3" t="s">
        <v>117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 t="str">
        <f ca="1">IF(OR(Q7="Yes",R7="Yes",S7="Yes"),"Prohibited",IF(OR(L7="Yes",M7="Yes",N7="Yes",O7="Yes",P7="Yes"),"High-risk",IFERROR(_xludf.XLOOKUP(E7,Lookups!$Q$14:$Q$23,Lookups!$R$14:$R$23,"Unknown"),IFERROR(VLOOKUP(E7,Lookups!$Q$14:$R$23,2,FALSE),"Unknown"))))</f>
        <v>Unknown</v>
      </c>
      <c r="X7" s="5" t="str">
        <f ca="1">IFERROR(_xludf.XLOOKUP(W7,Lookups!$Q$5:$Q$9,Lookups!$R$5:$R$9,"P2"),IFERROR(VLOOKUP(W7,Lookups!$Q$5:$R$9,2,FALSE),"P2"))</f>
        <v>P2</v>
      </c>
      <c r="Y7" s="5" t="str">
        <f ca="1">IFERROR(_xludf.XLOOKUP(W7,Lookups!$Q$5:$Q$9,Lookups!$S$5:$S$9,"Clarify triage"),IFERROR(VLOOKUP(W7,Lookups!$Q$5:$S$9,3,FALSE),"Clarify triage"))</f>
        <v>Clarify use case, role, and decision impact; run triage workshop.</v>
      </c>
      <c r="Z7" s="4"/>
    </row>
    <row r="8" spans="1:26" ht="16" x14ac:dyDescent="0.2">
      <c r="A8" s="3" t="s">
        <v>118</v>
      </c>
      <c r="B8" s="3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 t="str">
        <f ca="1">IF(OR(Q8="Yes",R8="Yes",S8="Yes"),"Prohibited",IF(OR(L8="Yes",M8="Yes",N8="Yes",O8="Yes",P8="Yes"),"High-risk",IFERROR(_xludf.XLOOKUP(E8,Lookups!$Q$14:$Q$23,Lookups!$R$14:$R$23,"Unknown"),IFERROR(VLOOKUP(E8,Lookups!$Q$14:$R$23,2,FALSE),"Unknown"))))</f>
        <v>Unknown</v>
      </c>
      <c r="X8" s="5" t="str">
        <f ca="1">IFERROR(_xludf.XLOOKUP(W8,Lookups!$Q$5:$Q$9,Lookups!$R$5:$R$9,"P2"),IFERROR(VLOOKUP(W8,Lookups!$Q$5:$R$9,2,FALSE),"P2"))</f>
        <v>P2</v>
      </c>
      <c r="Y8" s="5" t="str">
        <f ca="1">IFERROR(_xludf.XLOOKUP(W8,Lookups!$Q$5:$Q$9,Lookups!$S$5:$S$9,"Clarify triage"),IFERROR(VLOOKUP(W8,Lookups!$Q$5:$S$9,3,FALSE),"Clarify triage"))</f>
        <v>Clarify use case, role, and decision impact; run triage workshop.</v>
      </c>
      <c r="Z8" s="4"/>
    </row>
    <row r="9" spans="1:26" ht="16" x14ac:dyDescent="0.2">
      <c r="A9" s="3" t="s">
        <v>119</v>
      </c>
      <c r="B9" s="3"/>
      <c r="C9" s="3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 t="str">
        <f ca="1">IF(OR(Q9="Yes",R9="Yes",S9="Yes"),"Prohibited",IF(OR(L9="Yes",M9="Yes",N9="Yes",O9="Yes",P9="Yes"),"High-risk",IFERROR(_xludf.XLOOKUP(E9,Lookups!$Q$14:$Q$23,Lookups!$R$14:$R$23,"Unknown"),IFERROR(VLOOKUP(E9,Lookups!$Q$14:$R$23,2,FALSE),"Unknown"))))</f>
        <v>Unknown</v>
      </c>
      <c r="X9" s="5" t="str">
        <f ca="1">IFERROR(_xludf.XLOOKUP(W9,Lookups!$Q$5:$Q$9,Lookups!$R$5:$R$9,"P2"),IFERROR(VLOOKUP(W9,Lookups!$Q$5:$R$9,2,FALSE),"P2"))</f>
        <v>P2</v>
      </c>
      <c r="Y9" s="5" t="str">
        <f ca="1">IFERROR(_xludf.XLOOKUP(W9,Lookups!$Q$5:$Q$9,Lookups!$S$5:$S$9,"Clarify triage"),IFERROR(VLOOKUP(W9,Lookups!$Q$5:$S$9,3,FALSE),"Clarify triage"))</f>
        <v>Clarify use case, role, and decision impact; run triage workshop.</v>
      </c>
      <c r="Z9" s="4"/>
    </row>
    <row r="10" spans="1:26" ht="16" x14ac:dyDescent="0.2">
      <c r="A10" s="3" t="s">
        <v>120</v>
      </c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 t="str">
        <f ca="1">IF(OR(Q10="Yes",R10="Yes",S10="Yes"),"Prohibited",IF(OR(L10="Yes",M10="Yes",N10="Yes",O10="Yes",P10="Yes"),"High-risk",IFERROR(_xludf.XLOOKUP(E10,Lookups!$Q$14:$Q$23,Lookups!$R$14:$R$23,"Unknown"),IFERROR(VLOOKUP(E10,Lookups!$Q$14:$R$23,2,FALSE),"Unknown"))))</f>
        <v>Unknown</v>
      </c>
      <c r="X10" s="5" t="str">
        <f ca="1">IFERROR(_xludf.XLOOKUP(W10,Lookups!$Q$5:$Q$9,Lookups!$R$5:$R$9,"P2"),IFERROR(VLOOKUP(W10,Lookups!$Q$5:$R$9,2,FALSE),"P2"))</f>
        <v>P2</v>
      </c>
      <c r="Y10" s="5" t="str">
        <f ca="1">IFERROR(_xludf.XLOOKUP(W10,Lookups!$Q$5:$Q$9,Lookups!$S$5:$S$9,"Clarify triage"),IFERROR(VLOOKUP(W10,Lookups!$Q$5:$S$9,3,FALSE),"Clarify triage"))</f>
        <v>Clarify use case, role, and decision impact; run triage workshop.</v>
      </c>
      <c r="Z10" s="4"/>
    </row>
    <row r="11" spans="1:26" ht="16" x14ac:dyDescent="0.2">
      <c r="A11" s="3" t="s">
        <v>121</v>
      </c>
      <c r="B11" s="3"/>
      <c r="C11" s="3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 t="str">
        <f ca="1">IF(OR(Q11="Yes",R11="Yes",S11="Yes"),"Prohibited",IF(OR(L11="Yes",M11="Yes",N11="Yes",O11="Yes",P11="Yes"),"High-risk",IFERROR(_xludf.XLOOKUP(E11,Lookups!$Q$14:$Q$23,Lookups!$R$14:$R$23,"Unknown"),IFERROR(VLOOKUP(E11,Lookups!$Q$14:$R$23,2,FALSE),"Unknown"))))</f>
        <v>Unknown</v>
      </c>
      <c r="X11" s="5" t="str">
        <f ca="1">IFERROR(_xludf.XLOOKUP(W11,Lookups!$Q$5:$Q$9,Lookups!$R$5:$R$9,"P2"),IFERROR(VLOOKUP(W11,Lookups!$Q$5:$R$9,2,FALSE),"P2"))</f>
        <v>P2</v>
      </c>
      <c r="Y11" s="5" t="str">
        <f ca="1">IFERROR(_xludf.XLOOKUP(W11,Lookups!$Q$5:$Q$9,Lookups!$S$5:$S$9,"Clarify triage"),IFERROR(VLOOKUP(W11,Lookups!$Q$5:$S$9,3,FALSE),"Clarify triage"))</f>
        <v>Clarify use case, role, and decision impact; run triage workshop.</v>
      </c>
      <c r="Z11" s="4"/>
    </row>
    <row r="12" spans="1:26" ht="16" x14ac:dyDescent="0.2">
      <c r="A12" s="3" t="s">
        <v>122</v>
      </c>
      <c r="B12" s="3"/>
      <c r="C12" s="3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 t="str">
        <f ca="1">IF(OR(Q12="Yes",R12="Yes",S12="Yes"),"Prohibited",IF(OR(L12="Yes",M12="Yes",N12="Yes",O12="Yes",P12="Yes"),"High-risk",IFERROR(_xludf.XLOOKUP(E12,Lookups!$Q$14:$Q$23,Lookups!$R$14:$R$23,"Unknown"),IFERROR(VLOOKUP(E12,Lookups!$Q$14:$R$23,2,FALSE),"Unknown"))))</f>
        <v>Unknown</v>
      </c>
      <c r="X12" s="5" t="str">
        <f ca="1">IFERROR(_xludf.XLOOKUP(W12,Lookups!$Q$5:$Q$9,Lookups!$R$5:$R$9,"P2"),IFERROR(VLOOKUP(W12,Lookups!$Q$5:$R$9,2,FALSE),"P2"))</f>
        <v>P2</v>
      </c>
      <c r="Y12" s="5" t="str">
        <f ca="1">IFERROR(_xludf.XLOOKUP(W12,Lookups!$Q$5:$Q$9,Lookups!$S$5:$S$9,"Clarify triage"),IFERROR(VLOOKUP(W12,Lookups!$Q$5:$S$9,3,FALSE),"Clarify triage"))</f>
        <v>Clarify use case, role, and decision impact; run triage workshop.</v>
      </c>
      <c r="Z12" s="4"/>
    </row>
    <row r="13" spans="1:26" ht="16" x14ac:dyDescent="0.2">
      <c r="A13" s="3" t="s">
        <v>123</v>
      </c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 t="str">
        <f ca="1">IF(OR(Q13="Yes",R13="Yes",S13="Yes"),"Prohibited",IF(OR(L13="Yes",M13="Yes",N13="Yes",O13="Yes",P13="Yes"),"High-risk",IFERROR(_xludf.XLOOKUP(E13,Lookups!$Q$14:$Q$23,Lookups!$R$14:$R$23,"Unknown"),IFERROR(VLOOKUP(E13,Lookups!$Q$14:$R$23,2,FALSE),"Unknown"))))</f>
        <v>Unknown</v>
      </c>
      <c r="X13" s="5" t="str">
        <f ca="1">IFERROR(_xludf.XLOOKUP(W13,Lookups!$Q$5:$Q$9,Lookups!$R$5:$R$9,"P2"),IFERROR(VLOOKUP(W13,Lookups!$Q$5:$R$9,2,FALSE),"P2"))</f>
        <v>P2</v>
      </c>
      <c r="Y13" s="5" t="str">
        <f ca="1">IFERROR(_xludf.XLOOKUP(W13,Lookups!$Q$5:$Q$9,Lookups!$S$5:$S$9,"Clarify triage"),IFERROR(VLOOKUP(W13,Lookups!$Q$5:$S$9,3,FALSE),"Clarify triage"))</f>
        <v>Clarify use case, role, and decision impact; run triage workshop.</v>
      </c>
      <c r="Z13" s="4"/>
    </row>
    <row r="14" spans="1:26" ht="16" x14ac:dyDescent="0.2">
      <c r="A14" s="3" t="s">
        <v>124</v>
      </c>
      <c r="B14" s="3"/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 t="str">
        <f ca="1">IF(OR(Q14="Yes",R14="Yes",S14="Yes"),"Prohibited",IF(OR(L14="Yes",M14="Yes",N14="Yes",O14="Yes",P14="Yes"),"High-risk",IFERROR(_xludf.XLOOKUP(E14,Lookups!$Q$14:$Q$23,Lookups!$R$14:$R$23,"Unknown"),IFERROR(VLOOKUP(E14,Lookups!$Q$14:$R$23,2,FALSE),"Unknown"))))</f>
        <v>Unknown</v>
      </c>
      <c r="X14" s="5" t="str">
        <f ca="1">IFERROR(_xludf.XLOOKUP(W14,Lookups!$Q$5:$Q$9,Lookups!$R$5:$R$9,"P2"),IFERROR(VLOOKUP(W14,Lookups!$Q$5:$R$9,2,FALSE),"P2"))</f>
        <v>P2</v>
      </c>
      <c r="Y14" s="5" t="str">
        <f ca="1">IFERROR(_xludf.XLOOKUP(W14,Lookups!$Q$5:$Q$9,Lookups!$S$5:$S$9,"Clarify triage"),IFERROR(VLOOKUP(W14,Lookups!$Q$5:$S$9,3,FALSE),"Clarify triage"))</f>
        <v>Clarify use case, role, and decision impact; run triage workshop.</v>
      </c>
      <c r="Z14" s="4"/>
    </row>
    <row r="15" spans="1:26" ht="16" x14ac:dyDescent="0.2">
      <c r="A15" s="3" t="s">
        <v>125</v>
      </c>
      <c r="B15" s="3"/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 t="str">
        <f ca="1">IF(OR(Q15="Yes",R15="Yes",S15="Yes"),"Prohibited",IF(OR(L15="Yes",M15="Yes",N15="Yes",O15="Yes",P15="Yes"),"High-risk",IFERROR(_xludf.XLOOKUP(E15,Lookups!$Q$14:$Q$23,Lookups!$R$14:$R$23,"Unknown"),IFERROR(VLOOKUP(E15,Lookups!$Q$14:$R$23,2,FALSE),"Unknown"))))</f>
        <v>Unknown</v>
      </c>
      <c r="X15" s="5" t="str">
        <f ca="1">IFERROR(_xludf.XLOOKUP(W15,Lookups!$Q$5:$Q$9,Lookups!$R$5:$R$9,"P2"),IFERROR(VLOOKUP(W15,Lookups!$Q$5:$R$9,2,FALSE),"P2"))</f>
        <v>P2</v>
      </c>
      <c r="Y15" s="5" t="str">
        <f ca="1">IFERROR(_xludf.XLOOKUP(W15,Lookups!$Q$5:$Q$9,Lookups!$S$5:$S$9,"Clarify triage"),IFERROR(VLOOKUP(W15,Lookups!$Q$5:$S$9,3,FALSE),"Clarify triage"))</f>
        <v>Clarify use case, role, and decision impact; run triage workshop.</v>
      </c>
      <c r="Z15" s="4"/>
    </row>
    <row r="16" spans="1:26" ht="16" x14ac:dyDescent="0.2">
      <c r="A16" s="3" t="s">
        <v>126</v>
      </c>
      <c r="B16" s="3"/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 t="str">
        <f ca="1">IF(OR(Q16="Yes",R16="Yes",S16="Yes"),"Prohibited",IF(OR(L16="Yes",M16="Yes",N16="Yes",O16="Yes",P16="Yes"),"High-risk",IFERROR(_xludf.XLOOKUP(E16,Lookups!$Q$14:$Q$23,Lookups!$R$14:$R$23,"Unknown"),IFERROR(VLOOKUP(E16,Lookups!$Q$14:$R$23,2,FALSE),"Unknown"))))</f>
        <v>Unknown</v>
      </c>
      <c r="X16" s="5" t="str">
        <f ca="1">IFERROR(_xludf.XLOOKUP(W16,Lookups!$Q$5:$Q$9,Lookups!$R$5:$R$9,"P2"),IFERROR(VLOOKUP(W16,Lookups!$Q$5:$R$9,2,FALSE),"P2"))</f>
        <v>P2</v>
      </c>
      <c r="Y16" s="5" t="str">
        <f ca="1">IFERROR(_xludf.XLOOKUP(W16,Lookups!$Q$5:$Q$9,Lookups!$S$5:$S$9,"Clarify triage"),IFERROR(VLOOKUP(W16,Lookups!$Q$5:$S$9,3,FALSE),"Clarify triage"))</f>
        <v>Clarify use case, role, and decision impact; run triage workshop.</v>
      </c>
      <c r="Z16" s="4"/>
    </row>
    <row r="17" spans="1:26" ht="16" x14ac:dyDescent="0.2">
      <c r="A17" s="3" t="s">
        <v>127</v>
      </c>
      <c r="B17" s="3"/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 t="str">
        <f ca="1">IF(OR(Q17="Yes",R17="Yes",S17="Yes"),"Prohibited",IF(OR(L17="Yes",M17="Yes",N17="Yes",O17="Yes",P17="Yes"),"High-risk",IFERROR(_xludf.XLOOKUP(E17,Lookups!$Q$14:$Q$23,Lookups!$R$14:$R$23,"Unknown"),IFERROR(VLOOKUP(E17,Lookups!$Q$14:$R$23,2,FALSE),"Unknown"))))</f>
        <v>Unknown</v>
      </c>
      <c r="X17" s="5" t="str">
        <f ca="1">IFERROR(_xludf.XLOOKUP(W17,Lookups!$Q$5:$Q$9,Lookups!$R$5:$R$9,"P2"),IFERROR(VLOOKUP(W17,Lookups!$Q$5:$R$9,2,FALSE),"P2"))</f>
        <v>P2</v>
      </c>
      <c r="Y17" s="5" t="str">
        <f ca="1">IFERROR(_xludf.XLOOKUP(W17,Lookups!$Q$5:$Q$9,Lookups!$S$5:$S$9,"Clarify triage"),IFERROR(VLOOKUP(W17,Lookups!$Q$5:$S$9,3,FALSE),"Clarify triage"))</f>
        <v>Clarify use case, role, and decision impact; run triage workshop.</v>
      </c>
      <c r="Z17" s="4"/>
    </row>
    <row r="18" spans="1:26" ht="16" x14ac:dyDescent="0.2">
      <c r="A18" s="3" t="s">
        <v>128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 t="str">
        <f ca="1">IF(OR(Q18="Yes",R18="Yes",S18="Yes"),"Prohibited",IF(OR(L18="Yes",M18="Yes",N18="Yes",O18="Yes",P18="Yes"),"High-risk",IFERROR(_xludf.XLOOKUP(E18,Lookups!$Q$14:$Q$23,Lookups!$R$14:$R$23,"Unknown"),IFERROR(VLOOKUP(E18,Lookups!$Q$14:$R$23,2,FALSE),"Unknown"))))</f>
        <v>Unknown</v>
      </c>
      <c r="X18" s="5" t="str">
        <f ca="1">IFERROR(_xludf.XLOOKUP(W18,Lookups!$Q$5:$Q$9,Lookups!$R$5:$R$9,"P2"),IFERROR(VLOOKUP(W18,Lookups!$Q$5:$R$9,2,FALSE),"P2"))</f>
        <v>P2</v>
      </c>
      <c r="Y18" s="5" t="str">
        <f ca="1">IFERROR(_xludf.XLOOKUP(W18,Lookups!$Q$5:$Q$9,Lookups!$S$5:$S$9,"Clarify triage"),IFERROR(VLOOKUP(W18,Lookups!$Q$5:$S$9,3,FALSE),"Clarify triage"))</f>
        <v>Clarify use case, role, and decision impact; run triage workshop.</v>
      </c>
      <c r="Z18" s="4"/>
    </row>
    <row r="19" spans="1:26" ht="16" x14ac:dyDescent="0.2">
      <c r="A19" s="3" t="s">
        <v>129</v>
      </c>
      <c r="B19" s="3"/>
      <c r="C19" s="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 t="str">
        <f ca="1">IF(OR(Q19="Yes",R19="Yes",S19="Yes"),"Prohibited",IF(OR(L19="Yes",M19="Yes",N19="Yes",O19="Yes",P19="Yes"),"High-risk",IFERROR(_xludf.XLOOKUP(E19,Lookups!$Q$14:$Q$23,Lookups!$R$14:$R$23,"Unknown"),IFERROR(VLOOKUP(E19,Lookups!$Q$14:$R$23,2,FALSE),"Unknown"))))</f>
        <v>Unknown</v>
      </c>
      <c r="X19" s="5" t="str">
        <f ca="1">IFERROR(_xludf.XLOOKUP(W19,Lookups!$Q$5:$Q$9,Lookups!$R$5:$R$9,"P2"),IFERROR(VLOOKUP(W19,Lookups!$Q$5:$R$9,2,FALSE),"P2"))</f>
        <v>P2</v>
      </c>
      <c r="Y19" s="5" t="str">
        <f ca="1">IFERROR(_xludf.XLOOKUP(W19,Lookups!$Q$5:$Q$9,Lookups!$S$5:$S$9,"Clarify triage"),IFERROR(VLOOKUP(W19,Lookups!$Q$5:$S$9,3,FALSE),"Clarify triage"))</f>
        <v>Clarify use case, role, and decision impact; run triage workshop.</v>
      </c>
      <c r="Z19" s="4"/>
    </row>
    <row r="20" spans="1:26" ht="16" x14ac:dyDescent="0.2">
      <c r="A20" s="3" t="s">
        <v>130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 t="str">
        <f ca="1">IF(OR(Q20="Yes",R20="Yes",S20="Yes"),"Prohibited",IF(OR(L20="Yes",M20="Yes",N20="Yes",O20="Yes",P20="Yes"),"High-risk",IFERROR(_xludf.XLOOKUP(E20,Lookups!$Q$14:$Q$23,Lookups!$R$14:$R$23,"Unknown"),IFERROR(VLOOKUP(E20,Lookups!$Q$14:$R$23,2,FALSE),"Unknown"))))</f>
        <v>Unknown</v>
      </c>
      <c r="X20" s="5" t="str">
        <f ca="1">IFERROR(_xludf.XLOOKUP(W20,Lookups!$Q$5:$Q$9,Lookups!$R$5:$R$9,"P2"),IFERROR(VLOOKUP(W20,Lookups!$Q$5:$R$9,2,FALSE),"P2"))</f>
        <v>P2</v>
      </c>
      <c r="Y20" s="5" t="str">
        <f ca="1">IFERROR(_xludf.XLOOKUP(W20,Lookups!$Q$5:$Q$9,Lookups!$S$5:$S$9,"Clarify triage"),IFERROR(VLOOKUP(W20,Lookups!$Q$5:$S$9,3,FALSE),"Clarify triage"))</f>
        <v>Clarify use case, role, and decision impact; run triage workshop.</v>
      </c>
      <c r="Z20" s="4"/>
    </row>
    <row r="21" spans="1:26" ht="16" x14ac:dyDescent="0.2">
      <c r="A21" s="3" t="s">
        <v>131</v>
      </c>
      <c r="B21" s="3"/>
      <c r="C21" s="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 t="str">
        <f ca="1">IF(OR(Q21="Yes",R21="Yes",S21="Yes"),"Prohibited",IF(OR(L21="Yes",M21="Yes",N21="Yes",O21="Yes",P21="Yes"),"High-risk",IFERROR(_xludf.XLOOKUP(E21,Lookups!$Q$14:$Q$23,Lookups!$R$14:$R$23,"Unknown"),IFERROR(VLOOKUP(E21,Lookups!$Q$14:$R$23,2,FALSE),"Unknown"))))</f>
        <v>Unknown</v>
      </c>
      <c r="X21" s="5" t="str">
        <f ca="1">IFERROR(_xludf.XLOOKUP(W21,Lookups!$Q$5:$Q$9,Lookups!$R$5:$R$9,"P2"),IFERROR(VLOOKUP(W21,Lookups!$Q$5:$R$9,2,FALSE),"P2"))</f>
        <v>P2</v>
      </c>
      <c r="Y21" s="5" t="str">
        <f ca="1">IFERROR(_xludf.XLOOKUP(W21,Lookups!$Q$5:$Q$9,Lookups!$S$5:$S$9,"Clarify triage"),IFERROR(VLOOKUP(W21,Lookups!$Q$5:$S$9,3,FALSE),"Clarify triage"))</f>
        <v>Clarify use case, role, and decision impact; run triage workshop.</v>
      </c>
      <c r="Z21" s="4"/>
    </row>
    <row r="22" spans="1:26" ht="16" x14ac:dyDescent="0.2">
      <c r="A22" s="3" t="s">
        <v>132</v>
      </c>
      <c r="B22" s="3"/>
      <c r="C22" s="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 t="str">
        <f ca="1">IF(OR(Q22="Yes",R22="Yes",S22="Yes"),"Prohibited",IF(OR(L22="Yes",M22="Yes",N22="Yes",O22="Yes",P22="Yes"),"High-risk",IFERROR(_xludf.XLOOKUP(E22,Lookups!$Q$14:$Q$23,Lookups!$R$14:$R$23,"Unknown"),IFERROR(VLOOKUP(E22,Lookups!$Q$14:$R$23,2,FALSE),"Unknown"))))</f>
        <v>Unknown</v>
      </c>
      <c r="X22" s="5" t="str">
        <f ca="1">IFERROR(_xludf.XLOOKUP(W22,Lookups!$Q$5:$Q$9,Lookups!$R$5:$R$9,"P2"),IFERROR(VLOOKUP(W22,Lookups!$Q$5:$R$9,2,FALSE),"P2"))</f>
        <v>P2</v>
      </c>
      <c r="Y22" s="5" t="str">
        <f ca="1">IFERROR(_xludf.XLOOKUP(W22,Lookups!$Q$5:$Q$9,Lookups!$S$5:$S$9,"Clarify triage"),IFERROR(VLOOKUP(W22,Lookups!$Q$5:$S$9,3,FALSE),"Clarify triage"))</f>
        <v>Clarify use case, role, and decision impact; run triage workshop.</v>
      </c>
      <c r="Z22" s="4"/>
    </row>
    <row r="23" spans="1:26" ht="16" x14ac:dyDescent="0.2">
      <c r="A23" s="3" t="s">
        <v>133</v>
      </c>
      <c r="B23" s="3"/>
      <c r="C23" s="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 t="str">
        <f ca="1">IF(OR(Q23="Yes",R23="Yes",S23="Yes"),"Prohibited",IF(OR(L23="Yes",M23="Yes",N23="Yes",O23="Yes",P23="Yes"),"High-risk",IFERROR(_xludf.XLOOKUP(E23,Lookups!$Q$14:$Q$23,Lookups!$R$14:$R$23,"Unknown"),IFERROR(VLOOKUP(E23,Lookups!$Q$14:$R$23,2,FALSE),"Unknown"))))</f>
        <v>Unknown</v>
      </c>
      <c r="X23" s="5" t="str">
        <f ca="1">IFERROR(_xludf.XLOOKUP(W23,Lookups!$Q$5:$Q$9,Lookups!$R$5:$R$9,"P2"),IFERROR(VLOOKUP(W23,Lookups!$Q$5:$R$9,2,FALSE),"P2"))</f>
        <v>P2</v>
      </c>
      <c r="Y23" s="5" t="str">
        <f ca="1">IFERROR(_xludf.XLOOKUP(W23,Lookups!$Q$5:$Q$9,Lookups!$S$5:$S$9,"Clarify triage"),IFERROR(VLOOKUP(W23,Lookups!$Q$5:$S$9,3,FALSE),"Clarify triage"))</f>
        <v>Clarify use case, role, and decision impact; run triage workshop.</v>
      </c>
      <c r="Z23" s="4"/>
    </row>
    <row r="24" spans="1:26" ht="16" x14ac:dyDescent="0.2">
      <c r="A24" s="3" t="s">
        <v>134</v>
      </c>
      <c r="B24" s="3"/>
      <c r="C24" s="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 t="str">
        <f ca="1">IF(OR(Q24="Yes",R24="Yes",S24="Yes"),"Prohibited",IF(OR(L24="Yes",M24="Yes",N24="Yes",O24="Yes",P24="Yes"),"High-risk",IFERROR(_xludf.XLOOKUP(E24,Lookups!$Q$14:$Q$23,Lookups!$R$14:$R$23,"Unknown"),IFERROR(VLOOKUP(E24,Lookups!$Q$14:$R$23,2,FALSE),"Unknown"))))</f>
        <v>Unknown</v>
      </c>
      <c r="X24" s="5" t="str">
        <f ca="1">IFERROR(_xludf.XLOOKUP(W24,Lookups!$Q$5:$Q$9,Lookups!$R$5:$R$9,"P2"),IFERROR(VLOOKUP(W24,Lookups!$Q$5:$R$9,2,FALSE),"P2"))</f>
        <v>P2</v>
      </c>
      <c r="Y24" s="5" t="str">
        <f ca="1">IFERROR(_xludf.XLOOKUP(W24,Lookups!$Q$5:$Q$9,Lookups!$S$5:$S$9,"Clarify triage"),IFERROR(VLOOKUP(W24,Lookups!$Q$5:$S$9,3,FALSE),"Clarify triage"))</f>
        <v>Clarify use case, role, and decision impact; run triage workshop.</v>
      </c>
      <c r="Z24" s="4"/>
    </row>
    <row r="25" spans="1:26" ht="16" x14ac:dyDescent="0.2">
      <c r="A25" s="3" t="s">
        <v>135</v>
      </c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 t="str">
        <f ca="1">IF(OR(Q25="Yes",R25="Yes",S25="Yes"),"Prohibited",IF(OR(L25="Yes",M25="Yes",N25="Yes",O25="Yes",P25="Yes"),"High-risk",IFERROR(_xludf.XLOOKUP(E25,Lookups!$Q$14:$Q$23,Lookups!$R$14:$R$23,"Unknown"),IFERROR(VLOOKUP(E25,Lookups!$Q$14:$R$23,2,FALSE),"Unknown"))))</f>
        <v>Unknown</v>
      </c>
      <c r="X25" s="5" t="str">
        <f ca="1">IFERROR(_xludf.XLOOKUP(W25,Lookups!$Q$5:$Q$9,Lookups!$R$5:$R$9,"P2"),IFERROR(VLOOKUP(W25,Lookups!$Q$5:$R$9,2,FALSE),"P2"))</f>
        <v>P2</v>
      </c>
      <c r="Y25" s="5" t="str">
        <f ca="1">IFERROR(_xludf.XLOOKUP(W25,Lookups!$Q$5:$Q$9,Lookups!$S$5:$S$9,"Clarify triage"),IFERROR(VLOOKUP(W25,Lookups!$Q$5:$S$9,3,FALSE),"Clarify triage"))</f>
        <v>Clarify use case, role, and decision impact; run triage workshop.</v>
      </c>
      <c r="Z25" s="4"/>
    </row>
    <row r="26" spans="1:26" ht="16" x14ac:dyDescent="0.2">
      <c r="A26" s="3" t="s">
        <v>136</v>
      </c>
      <c r="B26" s="3"/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 t="str">
        <f ca="1">IF(OR(Q26="Yes",R26="Yes",S26="Yes"),"Prohibited",IF(OR(L26="Yes",M26="Yes",N26="Yes",O26="Yes",P26="Yes"),"High-risk",IFERROR(_xludf.XLOOKUP(E26,Lookups!$Q$14:$Q$23,Lookups!$R$14:$R$23,"Unknown"),IFERROR(VLOOKUP(E26,Lookups!$Q$14:$R$23,2,FALSE),"Unknown"))))</f>
        <v>Unknown</v>
      </c>
      <c r="X26" s="5" t="str">
        <f ca="1">IFERROR(_xludf.XLOOKUP(W26,Lookups!$Q$5:$Q$9,Lookups!$R$5:$R$9,"P2"),IFERROR(VLOOKUP(W26,Lookups!$Q$5:$R$9,2,FALSE),"P2"))</f>
        <v>P2</v>
      </c>
      <c r="Y26" s="5" t="str">
        <f ca="1">IFERROR(_xludf.XLOOKUP(W26,Lookups!$Q$5:$Q$9,Lookups!$S$5:$S$9,"Clarify triage"),IFERROR(VLOOKUP(W26,Lookups!$Q$5:$S$9,3,FALSE),"Clarify triage"))</f>
        <v>Clarify use case, role, and decision impact; run triage workshop.</v>
      </c>
      <c r="Z26" s="4"/>
    </row>
    <row r="27" spans="1:26" ht="16" x14ac:dyDescent="0.2">
      <c r="A27" s="3" t="s">
        <v>137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 t="str">
        <f ca="1">IF(OR(Q27="Yes",R27="Yes",S27="Yes"),"Prohibited",IF(OR(L27="Yes",M27="Yes",N27="Yes",O27="Yes",P27="Yes"),"High-risk",IFERROR(_xludf.XLOOKUP(E27,Lookups!$Q$14:$Q$23,Lookups!$R$14:$R$23,"Unknown"),IFERROR(VLOOKUP(E27,Lookups!$Q$14:$R$23,2,FALSE),"Unknown"))))</f>
        <v>Unknown</v>
      </c>
      <c r="X27" s="5" t="str">
        <f ca="1">IFERROR(_xludf.XLOOKUP(W27,Lookups!$Q$5:$Q$9,Lookups!$R$5:$R$9,"P2"),IFERROR(VLOOKUP(W27,Lookups!$Q$5:$R$9,2,FALSE),"P2"))</f>
        <v>P2</v>
      </c>
      <c r="Y27" s="5" t="str">
        <f ca="1">IFERROR(_xludf.XLOOKUP(W27,Lookups!$Q$5:$Q$9,Lookups!$S$5:$S$9,"Clarify triage"),IFERROR(VLOOKUP(W27,Lookups!$Q$5:$S$9,3,FALSE),"Clarify triage"))</f>
        <v>Clarify use case, role, and decision impact; run triage workshop.</v>
      </c>
      <c r="Z27" s="4"/>
    </row>
    <row r="28" spans="1:26" ht="16" x14ac:dyDescent="0.2">
      <c r="A28" s="3" t="s">
        <v>138</v>
      </c>
      <c r="B28" s="3"/>
      <c r="C28" s="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 t="str">
        <f ca="1">IF(OR(Q28="Yes",R28="Yes",S28="Yes"),"Prohibited",IF(OR(L28="Yes",M28="Yes",N28="Yes",O28="Yes",P28="Yes"),"High-risk",IFERROR(_xludf.XLOOKUP(E28,Lookups!$Q$14:$Q$23,Lookups!$R$14:$R$23,"Unknown"),IFERROR(VLOOKUP(E28,Lookups!$Q$14:$R$23,2,FALSE),"Unknown"))))</f>
        <v>Unknown</v>
      </c>
      <c r="X28" s="5" t="str">
        <f ca="1">IFERROR(_xludf.XLOOKUP(W28,Lookups!$Q$5:$Q$9,Lookups!$R$5:$R$9,"P2"),IFERROR(VLOOKUP(W28,Lookups!$Q$5:$R$9,2,FALSE),"P2"))</f>
        <v>P2</v>
      </c>
      <c r="Y28" s="5" t="str">
        <f ca="1">IFERROR(_xludf.XLOOKUP(W28,Lookups!$Q$5:$Q$9,Lookups!$S$5:$S$9,"Clarify triage"),IFERROR(VLOOKUP(W28,Lookups!$Q$5:$S$9,3,FALSE),"Clarify triage"))</f>
        <v>Clarify use case, role, and decision impact; run triage workshop.</v>
      </c>
      <c r="Z28" s="4"/>
    </row>
    <row r="29" spans="1:26" ht="16" x14ac:dyDescent="0.2">
      <c r="A29" s="3" t="s">
        <v>139</v>
      </c>
      <c r="B29" s="3"/>
      <c r="C29" s="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 t="str">
        <f ca="1">IF(OR(Q29="Yes",R29="Yes",S29="Yes"),"Prohibited",IF(OR(L29="Yes",M29="Yes",N29="Yes",O29="Yes",P29="Yes"),"High-risk",IFERROR(_xludf.XLOOKUP(E29,Lookups!$Q$14:$Q$23,Lookups!$R$14:$R$23,"Unknown"),IFERROR(VLOOKUP(E29,Lookups!$Q$14:$R$23,2,FALSE),"Unknown"))))</f>
        <v>Unknown</v>
      </c>
      <c r="X29" s="5" t="str">
        <f ca="1">IFERROR(_xludf.XLOOKUP(W29,Lookups!$Q$5:$Q$9,Lookups!$R$5:$R$9,"P2"),IFERROR(VLOOKUP(W29,Lookups!$Q$5:$R$9,2,FALSE),"P2"))</f>
        <v>P2</v>
      </c>
      <c r="Y29" s="5" t="str">
        <f ca="1">IFERROR(_xludf.XLOOKUP(W29,Lookups!$Q$5:$Q$9,Lookups!$S$5:$S$9,"Clarify triage"),IFERROR(VLOOKUP(W29,Lookups!$Q$5:$S$9,3,FALSE),"Clarify triage"))</f>
        <v>Clarify use case, role, and decision impact; run triage workshop.</v>
      </c>
      <c r="Z29" s="4"/>
    </row>
    <row r="30" spans="1:26" ht="16" x14ac:dyDescent="0.2">
      <c r="A30" s="3" t="s">
        <v>140</v>
      </c>
      <c r="B30" s="3"/>
      <c r="C30" s="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5" t="str">
        <f ca="1">IF(OR(Q30="Yes",R30="Yes",S30="Yes"),"Prohibited",IF(OR(L30="Yes",M30="Yes",N30="Yes",O30="Yes",P30="Yes"),"High-risk",IFERROR(_xludf.XLOOKUP(E30,Lookups!$Q$14:$Q$23,Lookups!$R$14:$R$23,"Unknown"),IFERROR(VLOOKUP(E30,Lookups!$Q$14:$R$23,2,FALSE),"Unknown"))))</f>
        <v>Unknown</v>
      </c>
      <c r="X30" s="5" t="str">
        <f ca="1">IFERROR(_xludf.XLOOKUP(W30,Lookups!$Q$5:$Q$9,Lookups!$R$5:$R$9,"P2"),IFERROR(VLOOKUP(W30,Lookups!$Q$5:$R$9,2,FALSE),"P2"))</f>
        <v>P2</v>
      </c>
      <c r="Y30" s="5" t="str">
        <f ca="1">IFERROR(_xludf.XLOOKUP(W30,Lookups!$Q$5:$Q$9,Lookups!$S$5:$S$9,"Clarify triage"),IFERROR(VLOOKUP(W30,Lookups!$Q$5:$S$9,3,FALSE),"Clarify triage"))</f>
        <v>Clarify use case, role, and decision impact; run triage workshop.</v>
      </c>
      <c r="Z30" s="4"/>
    </row>
    <row r="31" spans="1:26" ht="16" x14ac:dyDescent="0.2">
      <c r="A31" s="3" t="s">
        <v>141</v>
      </c>
      <c r="B31" s="3"/>
      <c r="C31" s="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5" t="str">
        <f ca="1">IF(OR(Q31="Yes",R31="Yes",S31="Yes"),"Prohibited",IF(OR(L31="Yes",M31="Yes",N31="Yes",O31="Yes",P31="Yes"),"High-risk",IFERROR(_xludf.XLOOKUP(E31,Lookups!$Q$14:$Q$23,Lookups!$R$14:$R$23,"Unknown"),IFERROR(VLOOKUP(E31,Lookups!$Q$14:$R$23,2,FALSE),"Unknown"))))</f>
        <v>Unknown</v>
      </c>
      <c r="X31" s="5" t="str">
        <f ca="1">IFERROR(_xludf.XLOOKUP(W31,Lookups!$Q$5:$Q$9,Lookups!$R$5:$R$9,"P2"),IFERROR(VLOOKUP(W31,Lookups!$Q$5:$R$9,2,FALSE),"P2"))</f>
        <v>P2</v>
      </c>
      <c r="Y31" s="5" t="str">
        <f ca="1">IFERROR(_xludf.XLOOKUP(W31,Lookups!$Q$5:$Q$9,Lookups!$S$5:$S$9,"Clarify triage"),IFERROR(VLOOKUP(W31,Lookups!$Q$5:$S$9,3,FALSE),"Clarify triage"))</f>
        <v>Clarify use case, role, and decision impact; run triage workshop.</v>
      </c>
      <c r="Z31" s="4"/>
    </row>
    <row r="32" spans="1:26" ht="16" x14ac:dyDescent="0.2">
      <c r="A32" s="3" t="s">
        <v>142</v>
      </c>
      <c r="B32" s="3"/>
      <c r="C32" s="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 t="str">
        <f ca="1">IF(OR(Q32="Yes",R32="Yes",S32="Yes"),"Prohibited",IF(OR(L32="Yes",M32="Yes",N32="Yes",O32="Yes",P32="Yes"),"High-risk",IFERROR(_xludf.XLOOKUP(E32,Lookups!$Q$14:$Q$23,Lookups!$R$14:$R$23,"Unknown"),IFERROR(VLOOKUP(E32,Lookups!$Q$14:$R$23,2,FALSE),"Unknown"))))</f>
        <v>Unknown</v>
      </c>
      <c r="X32" s="5" t="str">
        <f ca="1">IFERROR(_xludf.XLOOKUP(W32,Lookups!$Q$5:$Q$9,Lookups!$R$5:$R$9,"P2"),IFERROR(VLOOKUP(W32,Lookups!$Q$5:$R$9,2,FALSE),"P2"))</f>
        <v>P2</v>
      </c>
      <c r="Y32" s="5" t="str">
        <f ca="1">IFERROR(_xludf.XLOOKUP(W32,Lookups!$Q$5:$Q$9,Lookups!$S$5:$S$9,"Clarify triage"),IFERROR(VLOOKUP(W32,Lookups!$Q$5:$S$9,3,FALSE),"Clarify triage"))</f>
        <v>Clarify use case, role, and decision impact; run triage workshop.</v>
      </c>
      <c r="Z32" s="4"/>
    </row>
    <row r="33" spans="1:26" ht="16" x14ac:dyDescent="0.2">
      <c r="A33" s="3" t="s">
        <v>143</v>
      </c>
      <c r="B33" s="3"/>
      <c r="C33" s="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 t="str">
        <f ca="1">IF(OR(Q33="Yes",R33="Yes",S33="Yes"),"Prohibited",IF(OR(L33="Yes",M33="Yes",N33="Yes",O33="Yes",P33="Yes"),"High-risk",IFERROR(_xludf.XLOOKUP(E33,Lookups!$Q$14:$Q$23,Lookups!$R$14:$R$23,"Unknown"),IFERROR(VLOOKUP(E33,Lookups!$Q$14:$R$23,2,FALSE),"Unknown"))))</f>
        <v>Unknown</v>
      </c>
      <c r="X33" s="5" t="str">
        <f ca="1">IFERROR(_xludf.XLOOKUP(W33,Lookups!$Q$5:$Q$9,Lookups!$R$5:$R$9,"P2"),IFERROR(VLOOKUP(W33,Lookups!$Q$5:$R$9,2,FALSE),"P2"))</f>
        <v>P2</v>
      </c>
      <c r="Y33" s="5" t="str">
        <f ca="1">IFERROR(_xludf.XLOOKUP(W33,Lookups!$Q$5:$Q$9,Lookups!$S$5:$S$9,"Clarify triage"),IFERROR(VLOOKUP(W33,Lookups!$Q$5:$S$9,3,FALSE),"Clarify triage"))</f>
        <v>Clarify use case, role, and decision impact; run triage workshop.</v>
      </c>
      <c r="Z33" s="4"/>
    </row>
    <row r="34" spans="1:26" ht="16" x14ac:dyDescent="0.2">
      <c r="A34" s="3" t="s">
        <v>144</v>
      </c>
      <c r="B34" s="3"/>
      <c r="C34" s="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5" t="str">
        <f ca="1">IF(OR(Q34="Yes",R34="Yes",S34="Yes"),"Prohibited",IF(OR(L34="Yes",M34="Yes",N34="Yes",O34="Yes",P34="Yes"),"High-risk",IFERROR(_xludf.XLOOKUP(E34,Lookups!$Q$14:$Q$23,Lookups!$R$14:$R$23,"Unknown"),IFERROR(VLOOKUP(E34,Lookups!$Q$14:$R$23,2,FALSE),"Unknown"))))</f>
        <v>Unknown</v>
      </c>
      <c r="X34" s="5" t="str">
        <f ca="1">IFERROR(_xludf.XLOOKUP(W34,Lookups!$Q$5:$Q$9,Lookups!$R$5:$R$9,"P2"),IFERROR(VLOOKUP(W34,Lookups!$Q$5:$R$9,2,FALSE),"P2"))</f>
        <v>P2</v>
      </c>
      <c r="Y34" s="5" t="str">
        <f ca="1">IFERROR(_xludf.XLOOKUP(W34,Lookups!$Q$5:$Q$9,Lookups!$S$5:$S$9,"Clarify triage"),IFERROR(VLOOKUP(W34,Lookups!$Q$5:$S$9,3,FALSE),"Clarify triage"))</f>
        <v>Clarify use case, role, and decision impact; run triage workshop.</v>
      </c>
      <c r="Z34" s="4"/>
    </row>
    <row r="35" spans="1:26" ht="16" x14ac:dyDescent="0.2">
      <c r="A35" s="3" t="s">
        <v>145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5" t="str">
        <f ca="1">IF(OR(Q35="Yes",R35="Yes",S35="Yes"),"Prohibited",IF(OR(L35="Yes",M35="Yes",N35="Yes",O35="Yes",P35="Yes"),"High-risk",IFERROR(_xludf.XLOOKUP(E35,Lookups!$Q$14:$Q$23,Lookups!$R$14:$R$23,"Unknown"),IFERROR(VLOOKUP(E35,Lookups!$Q$14:$R$23,2,FALSE),"Unknown"))))</f>
        <v>Unknown</v>
      </c>
      <c r="X35" s="5" t="str">
        <f ca="1">IFERROR(_xludf.XLOOKUP(W35,Lookups!$Q$5:$Q$9,Lookups!$R$5:$R$9,"P2"),IFERROR(VLOOKUP(W35,Lookups!$Q$5:$R$9,2,FALSE),"P2"))</f>
        <v>P2</v>
      </c>
      <c r="Y35" s="5" t="str">
        <f ca="1">IFERROR(_xludf.XLOOKUP(W35,Lookups!$Q$5:$Q$9,Lookups!$S$5:$S$9,"Clarify triage"),IFERROR(VLOOKUP(W35,Lookups!$Q$5:$S$9,3,FALSE),"Clarify triage"))</f>
        <v>Clarify use case, role, and decision impact; run triage workshop.</v>
      </c>
      <c r="Z35" s="4"/>
    </row>
    <row r="36" spans="1:26" ht="16" x14ac:dyDescent="0.2">
      <c r="A36" s="3" t="s">
        <v>146</v>
      </c>
      <c r="B36" s="3"/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 t="str">
        <f ca="1">IF(OR(Q36="Yes",R36="Yes",S36="Yes"),"Prohibited",IF(OR(L36="Yes",M36="Yes",N36="Yes",O36="Yes",P36="Yes"),"High-risk",IFERROR(_xludf.XLOOKUP(E36,Lookups!$Q$14:$Q$23,Lookups!$R$14:$R$23,"Unknown"),IFERROR(VLOOKUP(E36,Lookups!$Q$14:$R$23,2,FALSE),"Unknown"))))</f>
        <v>Unknown</v>
      </c>
      <c r="X36" s="5" t="str">
        <f ca="1">IFERROR(_xludf.XLOOKUP(W36,Lookups!$Q$5:$Q$9,Lookups!$R$5:$R$9,"P2"),IFERROR(VLOOKUP(W36,Lookups!$Q$5:$R$9,2,FALSE),"P2"))</f>
        <v>P2</v>
      </c>
      <c r="Y36" s="5" t="str">
        <f ca="1">IFERROR(_xludf.XLOOKUP(W36,Lookups!$Q$5:$Q$9,Lookups!$S$5:$S$9,"Clarify triage"),IFERROR(VLOOKUP(W36,Lookups!$Q$5:$S$9,3,FALSE),"Clarify triage"))</f>
        <v>Clarify use case, role, and decision impact; run triage workshop.</v>
      </c>
      <c r="Z36" s="4"/>
    </row>
    <row r="37" spans="1:26" ht="16" x14ac:dyDescent="0.2">
      <c r="A37" s="3" t="s">
        <v>147</v>
      </c>
      <c r="B37" s="3"/>
      <c r="C37" s="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5" t="str">
        <f ca="1">IF(OR(Q37="Yes",R37="Yes",S37="Yes"),"Prohibited",IF(OR(L37="Yes",M37="Yes",N37="Yes",O37="Yes",P37="Yes"),"High-risk",IFERROR(_xludf.XLOOKUP(E37,Lookups!$Q$14:$Q$23,Lookups!$R$14:$R$23,"Unknown"),IFERROR(VLOOKUP(E37,Lookups!$Q$14:$R$23,2,FALSE),"Unknown"))))</f>
        <v>Unknown</v>
      </c>
      <c r="X37" s="5" t="str">
        <f ca="1">IFERROR(_xludf.XLOOKUP(W37,Lookups!$Q$5:$Q$9,Lookups!$R$5:$R$9,"P2"),IFERROR(VLOOKUP(W37,Lookups!$Q$5:$R$9,2,FALSE),"P2"))</f>
        <v>P2</v>
      </c>
      <c r="Y37" s="5" t="str">
        <f ca="1">IFERROR(_xludf.XLOOKUP(W37,Lookups!$Q$5:$Q$9,Lookups!$S$5:$S$9,"Clarify triage"),IFERROR(VLOOKUP(W37,Lookups!$Q$5:$S$9,3,FALSE),"Clarify triage"))</f>
        <v>Clarify use case, role, and decision impact; run triage workshop.</v>
      </c>
      <c r="Z37" s="4"/>
    </row>
    <row r="38" spans="1:26" ht="16" x14ac:dyDescent="0.2">
      <c r="A38" s="3" t="s">
        <v>148</v>
      </c>
      <c r="B38" s="3"/>
      <c r="C38" s="3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 t="str">
        <f ca="1">IF(OR(Q38="Yes",R38="Yes",S38="Yes"),"Prohibited",IF(OR(L38="Yes",M38="Yes",N38="Yes",O38="Yes",P38="Yes"),"High-risk",IFERROR(_xludf.XLOOKUP(E38,Lookups!$Q$14:$Q$23,Lookups!$R$14:$R$23,"Unknown"),IFERROR(VLOOKUP(E38,Lookups!$Q$14:$R$23,2,FALSE),"Unknown"))))</f>
        <v>Unknown</v>
      </c>
      <c r="X38" s="5" t="str">
        <f ca="1">IFERROR(_xludf.XLOOKUP(W38,Lookups!$Q$5:$Q$9,Lookups!$R$5:$R$9,"P2"),IFERROR(VLOOKUP(W38,Lookups!$Q$5:$R$9,2,FALSE),"P2"))</f>
        <v>P2</v>
      </c>
      <c r="Y38" s="5" t="str">
        <f ca="1">IFERROR(_xludf.XLOOKUP(W38,Lookups!$Q$5:$Q$9,Lookups!$S$5:$S$9,"Clarify triage"),IFERROR(VLOOKUP(W38,Lookups!$Q$5:$S$9,3,FALSE),"Clarify triage"))</f>
        <v>Clarify use case, role, and decision impact; run triage workshop.</v>
      </c>
      <c r="Z38" s="4"/>
    </row>
    <row r="39" spans="1:26" ht="16" x14ac:dyDescent="0.2">
      <c r="A39" s="3" t="s">
        <v>149</v>
      </c>
      <c r="B39" s="3"/>
      <c r="C39" s="3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 t="str">
        <f ca="1">IF(OR(Q39="Yes",R39="Yes",S39="Yes"),"Prohibited",IF(OR(L39="Yes",M39="Yes",N39="Yes",O39="Yes",P39="Yes"),"High-risk",IFERROR(_xludf.XLOOKUP(E39,Lookups!$Q$14:$Q$23,Lookups!$R$14:$R$23,"Unknown"),IFERROR(VLOOKUP(E39,Lookups!$Q$14:$R$23,2,FALSE),"Unknown"))))</f>
        <v>Unknown</v>
      </c>
      <c r="X39" s="5" t="str">
        <f ca="1">IFERROR(_xludf.XLOOKUP(W39,Lookups!$Q$5:$Q$9,Lookups!$R$5:$R$9,"P2"),IFERROR(VLOOKUP(W39,Lookups!$Q$5:$R$9,2,FALSE),"P2"))</f>
        <v>P2</v>
      </c>
      <c r="Y39" s="5" t="str">
        <f ca="1">IFERROR(_xludf.XLOOKUP(W39,Lookups!$Q$5:$Q$9,Lookups!$S$5:$S$9,"Clarify triage"),IFERROR(VLOOKUP(W39,Lookups!$Q$5:$S$9,3,FALSE),"Clarify triage"))</f>
        <v>Clarify use case, role, and decision impact; run triage workshop.</v>
      </c>
      <c r="Z39" s="4"/>
    </row>
    <row r="40" spans="1:26" ht="16" x14ac:dyDescent="0.2">
      <c r="A40" s="3" t="s">
        <v>150</v>
      </c>
      <c r="B40" s="3"/>
      <c r="C40" s="3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 t="str">
        <f ca="1">IF(OR(Q40="Yes",R40="Yes",S40="Yes"),"Prohibited",IF(OR(L40="Yes",M40="Yes",N40="Yes",O40="Yes",P40="Yes"),"High-risk",IFERROR(_xludf.XLOOKUP(E40,Lookups!$Q$14:$Q$23,Lookups!$R$14:$R$23,"Unknown"),IFERROR(VLOOKUP(E40,Lookups!$Q$14:$R$23,2,FALSE),"Unknown"))))</f>
        <v>Unknown</v>
      </c>
      <c r="X40" s="5" t="str">
        <f ca="1">IFERROR(_xludf.XLOOKUP(W40,Lookups!$Q$5:$Q$9,Lookups!$R$5:$R$9,"P2"),IFERROR(VLOOKUP(W40,Lookups!$Q$5:$R$9,2,FALSE),"P2"))</f>
        <v>P2</v>
      </c>
      <c r="Y40" s="5" t="str">
        <f ca="1">IFERROR(_xludf.XLOOKUP(W40,Lookups!$Q$5:$Q$9,Lookups!$S$5:$S$9,"Clarify triage"),IFERROR(VLOOKUP(W40,Lookups!$Q$5:$S$9,3,FALSE),"Clarify triage"))</f>
        <v>Clarify use case, role, and decision impact; run triage workshop.</v>
      </c>
      <c r="Z40" s="4"/>
    </row>
    <row r="41" spans="1:26" ht="16" x14ac:dyDescent="0.2">
      <c r="A41" s="3" t="s">
        <v>151</v>
      </c>
      <c r="B41" s="3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 t="str">
        <f ca="1">IF(OR(Q41="Yes",R41="Yes",S41="Yes"),"Prohibited",IF(OR(L41="Yes",M41="Yes",N41="Yes",O41="Yes",P41="Yes"),"High-risk",IFERROR(_xludf.XLOOKUP(E41,Lookups!$Q$14:$Q$23,Lookups!$R$14:$R$23,"Unknown"),IFERROR(VLOOKUP(E41,Lookups!$Q$14:$R$23,2,FALSE),"Unknown"))))</f>
        <v>Unknown</v>
      </c>
      <c r="X41" s="5" t="str">
        <f ca="1">IFERROR(_xludf.XLOOKUP(W41,Lookups!$Q$5:$Q$9,Lookups!$R$5:$R$9,"P2"),IFERROR(VLOOKUP(W41,Lookups!$Q$5:$R$9,2,FALSE),"P2"))</f>
        <v>P2</v>
      </c>
      <c r="Y41" s="5" t="str">
        <f ca="1">IFERROR(_xludf.XLOOKUP(W41,Lookups!$Q$5:$Q$9,Lookups!$S$5:$S$9,"Clarify triage"),IFERROR(VLOOKUP(W41,Lookups!$Q$5:$S$9,3,FALSE),"Clarify triage"))</f>
        <v>Clarify use case, role, and decision impact; run triage workshop.</v>
      </c>
      <c r="Z41" s="4"/>
    </row>
    <row r="42" spans="1:26" ht="16" x14ac:dyDescent="0.2">
      <c r="A42" s="3" t="s">
        <v>152</v>
      </c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 t="str">
        <f ca="1">IF(OR(Q42="Yes",R42="Yes",S42="Yes"),"Prohibited",IF(OR(L42="Yes",M42="Yes",N42="Yes",O42="Yes",P42="Yes"),"High-risk",IFERROR(_xludf.XLOOKUP(E42,Lookups!$Q$14:$Q$23,Lookups!$R$14:$R$23,"Unknown"),IFERROR(VLOOKUP(E42,Lookups!$Q$14:$R$23,2,FALSE),"Unknown"))))</f>
        <v>Unknown</v>
      </c>
      <c r="X42" s="5" t="str">
        <f ca="1">IFERROR(_xludf.XLOOKUP(W42,Lookups!$Q$5:$Q$9,Lookups!$R$5:$R$9,"P2"),IFERROR(VLOOKUP(W42,Lookups!$Q$5:$R$9,2,FALSE),"P2"))</f>
        <v>P2</v>
      </c>
      <c r="Y42" s="5" t="str">
        <f ca="1">IFERROR(_xludf.XLOOKUP(W42,Lookups!$Q$5:$Q$9,Lookups!$S$5:$S$9,"Clarify triage"),IFERROR(VLOOKUP(W42,Lookups!$Q$5:$S$9,3,FALSE),"Clarify triage"))</f>
        <v>Clarify use case, role, and decision impact; run triage workshop.</v>
      </c>
      <c r="Z42" s="4"/>
    </row>
    <row r="43" spans="1:26" ht="16" x14ac:dyDescent="0.2">
      <c r="A43" s="3" t="s">
        <v>153</v>
      </c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 t="str">
        <f ca="1">IF(OR(Q43="Yes",R43="Yes",S43="Yes"),"Prohibited",IF(OR(L43="Yes",M43="Yes",N43="Yes",O43="Yes",P43="Yes"),"High-risk",IFERROR(_xludf.XLOOKUP(E43,Lookups!$Q$14:$Q$23,Lookups!$R$14:$R$23,"Unknown"),IFERROR(VLOOKUP(E43,Lookups!$Q$14:$R$23,2,FALSE),"Unknown"))))</f>
        <v>Unknown</v>
      </c>
      <c r="X43" s="5" t="str">
        <f ca="1">IFERROR(_xludf.XLOOKUP(W43,Lookups!$Q$5:$Q$9,Lookups!$R$5:$R$9,"P2"),IFERROR(VLOOKUP(W43,Lookups!$Q$5:$R$9,2,FALSE),"P2"))</f>
        <v>P2</v>
      </c>
      <c r="Y43" s="5" t="str">
        <f ca="1">IFERROR(_xludf.XLOOKUP(W43,Lookups!$Q$5:$Q$9,Lookups!$S$5:$S$9,"Clarify triage"),IFERROR(VLOOKUP(W43,Lookups!$Q$5:$S$9,3,FALSE),"Clarify triage"))</f>
        <v>Clarify use case, role, and decision impact; run triage workshop.</v>
      </c>
      <c r="Z43" s="4"/>
    </row>
    <row r="44" spans="1:26" ht="16" x14ac:dyDescent="0.2">
      <c r="A44" s="3" t="s">
        <v>154</v>
      </c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 t="str">
        <f ca="1">IF(OR(Q44="Yes",R44="Yes",S44="Yes"),"Prohibited",IF(OR(L44="Yes",M44="Yes",N44="Yes",O44="Yes",P44="Yes"),"High-risk",IFERROR(_xludf.XLOOKUP(E44,Lookups!$Q$14:$Q$23,Lookups!$R$14:$R$23,"Unknown"),IFERROR(VLOOKUP(E44,Lookups!$Q$14:$R$23,2,FALSE),"Unknown"))))</f>
        <v>Unknown</v>
      </c>
      <c r="X44" s="5" t="str">
        <f ca="1">IFERROR(_xludf.XLOOKUP(W44,Lookups!$Q$5:$Q$9,Lookups!$R$5:$R$9,"P2"),IFERROR(VLOOKUP(W44,Lookups!$Q$5:$R$9,2,FALSE),"P2"))</f>
        <v>P2</v>
      </c>
      <c r="Y44" s="5" t="str">
        <f ca="1">IFERROR(_xludf.XLOOKUP(W44,Lookups!$Q$5:$Q$9,Lookups!$S$5:$S$9,"Clarify triage"),IFERROR(VLOOKUP(W44,Lookups!$Q$5:$S$9,3,FALSE),"Clarify triage"))</f>
        <v>Clarify use case, role, and decision impact; run triage workshop.</v>
      </c>
      <c r="Z44" s="4"/>
    </row>
    <row r="45" spans="1:26" ht="16" x14ac:dyDescent="0.2">
      <c r="A45" s="3" t="s">
        <v>155</v>
      </c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 t="str">
        <f ca="1">IF(OR(Q45="Yes",R45="Yes",S45="Yes"),"Prohibited",IF(OR(L45="Yes",M45="Yes",N45="Yes",O45="Yes",P45="Yes"),"High-risk",IFERROR(_xludf.XLOOKUP(E45,Lookups!$Q$14:$Q$23,Lookups!$R$14:$R$23,"Unknown"),IFERROR(VLOOKUP(E45,Lookups!$Q$14:$R$23,2,FALSE),"Unknown"))))</f>
        <v>Unknown</v>
      </c>
      <c r="X45" s="5" t="str">
        <f ca="1">IFERROR(_xludf.XLOOKUP(W45,Lookups!$Q$5:$Q$9,Lookups!$R$5:$R$9,"P2"),IFERROR(VLOOKUP(W45,Lookups!$Q$5:$R$9,2,FALSE),"P2"))</f>
        <v>P2</v>
      </c>
      <c r="Y45" s="5" t="str">
        <f ca="1">IFERROR(_xludf.XLOOKUP(W45,Lookups!$Q$5:$Q$9,Lookups!$S$5:$S$9,"Clarify triage"),IFERROR(VLOOKUP(W45,Lookups!$Q$5:$S$9,3,FALSE),"Clarify triage"))</f>
        <v>Clarify use case, role, and decision impact; run triage workshop.</v>
      </c>
      <c r="Z45" s="4"/>
    </row>
    <row r="46" spans="1:26" ht="16" x14ac:dyDescent="0.2">
      <c r="A46" s="3" t="s">
        <v>156</v>
      </c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 t="str">
        <f ca="1">IF(OR(Q46="Yes",R46="Yes",S46="Yes"),"Prohibited",IF(OR(L46="Yes",M46="Yes",N46="Yes",O46="Yes",P46="Yes"),"High-risk",IFERROR(_xludf.XLOOKUP(E46,Lookups!$Q$14:$Q$23,Lookups!$R$14:$R$23,"Unknown"),IFERROR(VLOOKUP(E46,Lookups!$Q$14:$R$23,2,FALSE),"Unknown"))))</f>
        <v>Unknown</v>
      </c>
      <c r="X46" s="5" t="str">
        <f ca="1">IFERROR(_xludf.XLOOKUP(W46,Lookups!$Q$5:$Q$9,Lookups!$R$5:$R$9,"P2"),IFERROR(VLOOKUP(W46,Lookups!$Q$5:$R$9,2,FALSE),"P2"))</f>
        <v>P2</v>
      </c>
      <c r="Y46" s="5" t="str">
        <f ca="1">IFERROR(_xludf.XLOOKUP(W46,Lookups!$Q$5:$Q$9,Lookups!$S$5:$S$9,"Clarify triage"),IFERROR(VLOOKUP(W46,Lookups!$Q$5:$S$9,3,FALSE),"Clarify triage"))</f>
        <v>Clarify use case, role, and decision impact; run triage workshop.</v>
      </c>
      <c r="Z46" s="4"/>
    </row>
    <row r="47" spans="1:26" ht="16" x14ac:dyDescent="0.2">
      <c r="A47" s="3" t="s">
        <v>157</v>
      </c>
      <c r="B47" s="3"/>
      <c r="C47" s="3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 t="str">
        <f ca="1">IF(OR(Q47="Yes",R47="Yes",S47="Yes"),"Prohibited",IF(OR(L47="Yes",M47="Yes",N47="Yes",O47="Yes",P47="Yes"),"High-risk",IFERROR(_xludf.XLOOKUP(E47,Lookups!$Q$14:$Q$23,Lookups!$R$14:$R$23,"Unknown"),IFERROR(VLOOKUP(E47,Lookups!$Q$14:$R$23,2,FALSE),"Unknown"))))</f>
        <v>Unknown</v>
      </c>
      <c r="X47" s="5" t="str">
        <f ca="1">IFERROR(_xludf.XLOOKUP(W47,Lookups!$Q$5:$Q$9,Lookups!$R$5:$R$9,"P2"),IFERROR(VLOOKUP(W47,Lookups!$Q$5:$R$9,2,FALSE),"P2"))</f>
        <v>P2</v>
      </c>
      <c r="Y47" s="5" t="str">
        <f ca="1">IFERROR(_xludf.XLOOKUP(W47,Lookups!$Q$5:$Q$9,Lookups!$S$5:$S$9,"Clarify triage"),IFERROR(VLOOKUP(W47,Lookups!$Q$5:$S$9,3,FALSE),"Clarify triage"))</f>
        <v>Clarify use case, role, and decision impact; run triage workshop.</v>
      </c>
      <c r="Z47" s="4"/>
    </row>
    <row r="48" spans="1:26" ht="16" x14ac:dyDescent="0.2">
      <c r="A48" s="3" t="s">
        <v>158</v>
      </c>
      <c r="B48" s="3"/>
      <c r="C48" s="3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 t="str">
        <f ca="1">IF(OR(Q48="Yes",R48="Yes",S48="Yes"),"Prohibited",IF(OR(L48="Yes",M48="Yes",N48="Yes",O48="Yes",P48="Yes"),"High-risk",IFERROR(_xludf.XLOOKUP(E48,Lookups!$Q$14:$Q$23,Lookups!$R$14:$R$23,"Unknown"),IFERROR(VLOOKUP(E48,Lookups!$Q$14:$R$23,2,FALSE),"Unknown"))))</f>
        <v>Unknown</v>
      </c>
      <c r="X48" s="5" t="str">
        <f ca="1">IFERROR(_xludf.XLOOKUP(W48,Lookups!$Q$5:$Q$9,Lookups!$R$5:$R$9,"P2"),IFERROR(VLOOKUP(W48,Lookups!$Q$5:$R$9,2,FALSE),"P2"))</f>
        <v>P2</v>
      </c>
      <c r="Y48" s="5" t="str">
        <f ca="1">IFERROR(_xludf.XLOOKUP(W48,Lookups!$Q$5:$Q$9,Lookups!$S$5:$S$9,"Clarify triage"),IFERROR(VLOOKUP(W48,Lookups!$Q$5:$S$9,3,FALSE),"Clarify triage"))</f>
        <v>Clarify use case, role, and decision impact; run triage workshop.</v>
      </c>
      <c r="Z48" s="4"/>
    </row>
    <row r="49" spans="1:26" ht="16" x14ac:dyDescent="0.2">
      <c r="A49" s="3" t="s">
        <v>159</v>
      </c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 t="str">
        <f ca="1">IF(OR(Q49="Yes",R49="Yes",S49="Yes"),"Prohibited",IF(OR(L49="Yes",M49="Yes",N49="Yes",O49="Yes",P49="Yes"),"High-risk",IFERROR(_xludf.XLOOKUP(E49,Lookups!$Q$14:$Q$23,Lookups!$R$14:$R$23,"Unknown"),IFERROR(VLOOKUP(E49,Lookups!$Q$14:$R$23,2,FALSE),"Unknown"))))</f>
        <v>Unknown</v>
      </c>
      <c r="X49" s="5" t="str">
        <f ca="1">IFERROR(_xludf.XLOOKUP(W49,Lookups!$Q$5:$Q$9,Lookups!$R$5:$R$9,"P2"),IFERROR(VLOOKUP(W49,Lookups!$Q$5:$R$9,2,FALSE),"P2"))</f>
        <v>P2</v>
      </c>
      <c r="Y49" s="5" t="str">
        <f ca="1">IFERROR(_xludf.XLOOKUP(W49,Lookups!$Q$5:$Q$9,Lookups!$S$5:$S$9,"Clarify triage"),IFERROR(VLOOKUP(W49,Lookups!$Q$5:$S$9,3,FALSE),"Clarify triage"))</f>
        <v>Clarify use case, role, and decision impact; run triage workshop.</v>
      </c>
      <c r="Z49" s="4"/>
    </row>
    <row r="50" spans="1:26" ht="16" x14ac:dyDescent="0.2">
      <c r="A50" s="3" t="s">
        <v>160</v>
      </c>
      <c r="B50" s="3"/>
      <c r="C50" s="3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 t="str">
        <f ca="1">IF(OR(Q50="Yes",R50="Yes",S50="Yes"),"Prohibited",IF(OR(L50="Yes",M50="Yes",N50="Yes",O50="Yes",P50="Yes"),"High-risk",IFERROR(_xludf.XLOOKUP(E50,Lookups!$Q$14:$Q$23,Lookups!$R$14:$R$23,"Unknown"),IFERROR(VLOOKUP(E50,Lookups!$Q$14:$R$23,2,FALSE),"Unknown"))))</f>
        <v>Unknown</v>
      </c>
      <c r="X50" s="5" t="str">
        <f ca="1">IFERROR(_xludf.XLOOKUP(W50,Lookups!$Q$5:$Q$9,Lookups!$R$5:$R$9,"P2"),IFERROR(VLOOKUP(W50,Lookups!$Q$5:$R$9,2,FALSE),"P2"))</f>
        <v>P2</v>
      </c>
      <c r="Y50" s="5" t="str">
        <f ca="1">IFERROR(_xludf.XLOOKUP(W50,Lookups!$Q$5:$Q$9,Lookups!$S$5:$S$9,"Clarify triage"),IFERROR(VLOOKUP(W50,Lookups!$Q$5:$S$9,3,FALSE),"Clarify triage"))</f>
        <v>Clarify use case, role, and decision impact; run triage workshop.</v>
      </c>
      <c r="Z50" s="4"/>
    </row>
    <row r="51" spans="1:26" ht="16" x14ac:dyDescent="0.2">
      <c r="A51" s="3" t="s">
        <v>161</v>
      </c>
      <c r="B51" s="3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 t="str">
        <f ca="1">IF(OR(Q51="Yes",R51="Yes",S51="Yes"),"Prohibited",IF(OR(L51="Yes",M51="Yes",N51="Yes",O51="Yes",P51="Yes"),"High-risk",IFERROR(_xludf.XLOOKUP(E51,Lookups!$Q$14:$Q$23,Lookups!$R$14:$R$23,"Unknown"),IFERROR(VLOOKUP(E51,Lookups!$Q$14:$R$23,2,FALSE),"Unknown"))))</f>
        <v>Unknown</v>
      </c>
      <c r="X51" s="5" t="str">
        <f ca="1">IFERROR(_xludf.XLOOKUP(W51,Lookups!$Q$5:$Q$9,Lookups!$R$5:$R$9,"P2"),IFERROR(VLOOKUP(W51,Lookups!$Q$5:$R$9,2,FALSE),"P2"))</f>
        <v>P2</v>
      </c>
      <c r="Y51" s="5" t="str">
        <f ca="1">IFERROR(_xludf.XLOOKUP(W51,Lookups!$Q$5:$Q$9,Lookups!$S$5:$S$9,"Clarify triage"),IFERROR(VLOOKUP(W51,Lookups!$Q$5:$S$9,3,FALSE),"Clarify triage"))</f>
        <v>Clarify use case, role, and decision impact; run triage workshop.</v>
      </c>
      <c r="Z51" s="4"/>
    </row>
    <row r="52" spans="1:26" ht="16" x14ac:dyDescent="0.2">
      <c r="A52" s="3" t="s">
        <v>162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 t="str">
        <f ca="1">IF(OR(Q52="Yes",R52="Yes",S52="Yes"),"Prohibited",IF(OR(L52="Yes",M52="Yes",N52="Yes",O52="Yes",P52="Yes"),"High-risk",IFERROR(_xludf.XLOOKUP(E52,Lookups!$Q$14:$Q$23,Lookups!$R$14:$R$23,"Unknown"),IFERROR(VLOOKUP(E52,Lookups!$Q$14:$R$23,2,FALSE),"Unknown"))))</f>
        <v>Unknown</v>
      </c>
      <c r="X52" s="5" t="str">
        <f ca="1">IFERROR(_xludf.XLOOKUP(W52,Lookups!$Q$5:$Q$9,Lookups!$R$5:$R$9,"P2"),IFERROR(VLOOKUP(W52,Lookups!$Q$5:$R$9,2,FALSE),"P2"))</f>
        <v>P2</v>
      </c>
      <c r="Y52" s="5" t="str">
        <f ca="1">IFERROR(_xludf.XLOOKUP(W52,Lookups!$Q$5:$Q$9,Lookups!$S$5:$S$9,"Clarify triage"),IFERROR(VLOOKUP(W52,Lookups!$Q$5:$S$9,3,FALSE),"Clarify triage"))</f>
        <v>Clarify use case, role, and decision impact; run triage workshop.</v>
      </c>
      <c r="Z52" s="4"/>
    </row>
    <row r="53" spans="1:26" ht="16" x14ac:dyDescent="0.2">
      <c r="A53" s="3" t="s">
        <v>163</v>
      </c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 t="str">
        <f ca="1">IF(OR(Q53="Yes",R53="Yes",S53="Yes"),"Prohibited",IF(OR(L53="Yes",M53="Yes",N53="Yes",O53="Yes",P53="Yes"),"High-risk",IFERROR(_xludf.XLOOKUP(E53,Lookups!$Q$14:$Q$23,Lookups!$R$14:$R$23,"Unknown"),IFERROR(VLOOKUP(E53,Lookups!$Q$14:$R$23,2,FALSE),"Unknown"))))</f>
        <v>Unknown</v>
      </c>
      <c r="X53" s="5" t="str">
        <f ca="1">IFERROR(_xludf.XLOOKUP(W53,Lookups!$Q$5:$Q$9,Lookups!$R$5:$R$9,"P2"),IFERROR(VLOOKUP(W53,Lookups!$Q$5:$R$9,2,FALSE),"P2"))</f>
        <v>P2</v>
      </c>
      <c r="Y53" s="5" t="str">
        <f ca="1">IFERROR(_xludf.XLOOKUP(W53,Lookups!$Q$5:$Q$9,Lookups!$S$5:$S$9,"Clarify triage"),IFERROR(VLOOKUP(W53,Lookups!$Q$5:$S$9,3,FALSE),"Clarify triage"))</f>
        <v>Clarify use case, role, and decision impact; run triage workshop.</v>
      </c>
      <c r="Z53" s="4"/>
    </row>
    <row r="54" spans="1:26" ht="16" x14ac:dyDescent="0.2">
      <c r="A54" s="3" t="s">
        <v>164</v>
      </c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 t="str">
        <f ca="1">IF(OR(Q54="Yes",R54="Yes",S54="Yes"),"Prohibited",IF(OR(L54="Yes",M54="Yes",N54="Yes",O54="Yes",P54="Yes"),"High-risk",IFERROR(_xludf.XLOOKUP(E54,Lookups!$Q$14:$Q$23,Lookups!$R$14:$R$23,"Unknown"),IFERROR(VLOOKUP(E54,Lookups!$Q$14:$R$23,2,FALSE),"Unknown"))))</f>
        <v>Unknown</v>
      </c>
      <c r="X54" s="5" t="str">
        <f ca="1">IFERROR(_xludf.XLOOKUP(W54,Lookups!$Q$5:$Q$9,Lookups!$R$5:$R$9,"P2"),IFERROR(VLOOKUP(W54,Lookups!$Q$5:$R$9,2,FALSE),"P2"))</f>
        <v>P2</v>
      </c>
      <c r="Y54" s="5" t="str">
        <f ca="1">IFERROR(_xludf.XLOOKUP(W54,Lookups!$Q$5:$Q$9,Lookups!$S$5:$S$9,"Clarify triage"),IFERROR(VLOOKUP(W54,Lookups!$Q$5:$S$9,3,FALSE),"Clarify triage"))</f>
        <v>Clarify use case, role, and decision impact; run triage workshop.</v>
      </c>
      <c r="Z54" s="4"/>
    </row>
    <row r="55" spans="1:26" ht="16" x14ac:dyDescent="0.2">
      <c r="A55" s="3" t="s">
        <v>165</v>
      </c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 t="str">
        <f ca="1">IF(OR(Q55="Yes",R55="Yes",S55="Yes"),"Prohibited",IF(OR(L55="Yes",M55="Yes",N55="Yes",O55="Yes",P55="Yes"),"High-risk",IFERROR(_xludf.XLOOKUP(E55,Lookups!$Q$14:$Q$23,Lookups!$R$14:$R$23,"Unknown"),IFERROR(VLOOKUP(E55,Lookups!$Q$14:$R$23,2,FALSE),"Unknown"))))</f>
        <v>Unknown</v>
      </c>
      <c r="X55" s="5" t="str">
        <f ca="1">IFERROR(_xludf.XLOOKUP(W55,Lookups!$Q$5:$Q$9,Lookups!$R$5:$R$9,"P2"),IFERROR(VLOOKUP(W55,Lookups!$Q$5:$R$9,2,FALSE),"P2"))</f>
        <v>P2</v>
      </c>
      <c r="Y55" s="5" t="str">
        <f ca="1">IFERROR(_xludf.XLOOKUP(W55,Lookups!$Q$5:$Q$9,Lookups!$S$5:$S$9,"Clarify triage"),IFERROR(VLOOKUP(W55,Lookups!$Q$5:$S$9,3,FALSE),"Clarify triage"))</f>
        <v>Clarify use case, role, and decision impact; run triage workshop.</v>
      </c>
      <c r="Z55" s="4"/>
    </row>
    <row r="56" spans="1:26" ht="16" x14ac:dyDescent="0.2">
      <c r="A56" s="3" t="s">
        <v>166</v>
      </c>
      <c r="B56" s="3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 t="str">
        <f ca="1">IF(OR(Q56="Yes",R56="Yes",S56="Yes"),"Prohibited",IF(OR(L56="Yes",M56="Yes",N56="Yes",O56="Yes",P56="Yes"),"High-risk",IFERROR(_xludf.XLOOKUP(E56,Lookups!$Q$14:$Q$23,Lookups!$R$14:$R$23,"Unknown"),IFERROR(VLOOKUP(E56,Lookups!$Q$14:$R$23,2,FALSE),"Unknown"))))</f>
        <v>Unknown</v>
      </c>
      <c r="X56" s="5" t="str">
        <f ca="1">IFERROR(_xludf.XLOOKUP(W56,Lookups!$Q$5:$Q$9,Lookups!$R$5:$R$9,"P2"),IFERROR(VLOOKUP(W56,Lookups!$Q$5:$R$9,2,FALSE),"P2"))</f>
        <v>P2</v>
      </c>
      <c r="Y56" s="5" t="str">
        <f ca="1">IFERROR(_xludf.XLOOKUP(W56,Lookups!$Q$5:$Q$9,Lookups!$S$5:$S$9,"Clarify triage"),IFERROR(VLOOKUP(W56,Lookups!$Q$5:$S$9,3,FALSE),"Clarify triage"))</f>
        <v>Clarify use case, role, and decision impact; run triage workshop.</v>
      </c>
      <c r="Z56" s="4"/>
    </row>
    <row r="57" spans="1:26" ht="16" x14ac:dyDescent="0.2">
      <c r="A57" s="3" t="s">
        <v>167</v>
      </c>
      <c r="B57" s="3"/>
      <c r="C57" s="3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 t="str">
        <f ca="1">IF(OR(Q57="Yes",R57="Yes",S57="Yes"),"Prohibited",IF(OR(L57="Yes",M57="Yes",N57="Yes",O57="Yes",P57="Yes"),"High-risk",IFERROR(_xludf.XLOOKUP(E57,Lookups!$Q$14:$Q$23,Lookups!$R$14:$R$23,"Unknown"),IFERROR(VLOOKUP(E57,Lookups!$Q$14:$R$23,2,FALSE),"Unknown"))))</f>
        <v>Unknown</v>
      </c>
      <c r="X57" s="5" t="str">
        <f ca="1">IFERROR(_xludf.XLOOKUP(W57,Lookups!$Q$5:$Q$9,Lookups!$R$5:$R$9,"P2"),IFERROR(VLOOKUP(W57,Lookups!$Q$5:$R$9,2,FALSE),"P2"))</f>
        <v>P2</v>
      </c>
      <c r="Y57" s="5" t="str">
        <f ca="1">IFERROR(_xludf.XLOOKUP(W57,Lookups!$Q$5:$Q$9,Lookups!$S$5:$S$9,"Clarify triage"),IFERROR(VLOOKUP(W57,Lookups!$Q$5:$S$9,3,FALSE),"Clarify triage"))</f>
        <v>Clarify use case, role, and decision impact; run triage workshop.</v>
      </c>
      <c r="Z57" s="4"/>
    </row>
    <row r="58" spans="1:26" ht="16" x14ac:dyDescent="0.2">
      <c r="A58" s="3" t="s">
        <v>168</v>
      </c>
      <c r="B58" s="3"/>
      <c r="C58" s="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 t="str">
        <f ca="1">IF(OR(Q58="Yes",R58="Yes",S58="Yes"),"Prohibited",IF(OR(L58="Yes",M58="Yes",N58="Yes",O58="Yes",P58="Yes"),"High-risk",IFERROR(_xludf.XLOOKUP(E58,Lookups!$Q$14:$Q$23,Lookups!$R$14:$R$23,"Unknown"),IFERROR(VLOOKUP(E58,Lookups!$Q$14:$R$23,2,FALSE),"Unknown"))))</f>
        <v>Unknown</v>
      </c>
      <c r="X58" s="5" t="str">
        <f ca="1">IFERROR(_xludf.XLOOKUP(W58,Lookups!$Q$5:$Q$9,Lookups!$R$5:$R$9,"P2"),IFERROR(VLOOKUP(W58,Lookups!$Q$5:$R$9,2,FALSE),"P2"))</f>
        <v>P2</v>
      </c>
      <c r="Y58" s="5" t="str">
        <f ca="1">IFERROR(_xludf.XLOOKUP(W58,Lookups!$Q$5:$Q$9,Lookups!$S$5:$S$9,"Clarify triage"),IFERROR(VLOOKUP(W58,Lookups!$Q$5:$S$9,3,FALSE),"Clarify triage"))</f>
        <v>Clarify use case, role, and decision impact; run triage workshop.</v>
      </c>
      <c r="Z58" s="4"/>
    </row>
    <row r="59" spans="1:26" ht="16" x14ac:dyDescent="0.2">
      <c r="A59" s="3" t="s">
        <v>169</v>
      </c>
      <c r="B59" s="3"/>
      <c r="C59" s="3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 t="str">
        <f ca="1">IF(OR(Q59="Yes",R59="Yes",S59="Yes"),"Prohibited",IF(OR(L59="Yes",M59="Yes",N59="Yes",O59="Yes",P59="Yes"),"High-risk",IFERROR(_xludf.XLOOKUP(E59,Lookups!$Q$14:$Q$23,Lookups!$R$14:$R$23,"Unknown"),IFERROR(VLOOKUP(E59,Lookups!$Q$14:$R$23,2,FALSE),"Unknown"))))</f>
        <v>Unknown</v>
      </c>
      <c r="X59" s="5" t="str">
        <f ca="1">IFERROR(_xludf.XLOOKUP(W59,Lookups!$Q$5:$Q$9,Lookups!$R$5:$R$9,"P2"),IFERROR(VLOOKUP(W59,Lookups!$Q$5:$R$9,2,FALSE),"P2"))</f>
        <v>P2</v>
      </c>
      <c r="Y59" s="5" t="str">
        <f ca="1">IFERROR(_xludf.XLOOKUP(W59,Lookups!$Q$5:$Q$9,Lookups!$S$5:$S$9,"Clarify triage"),IFERROR(VLOOKUP(W59,Lookups!$Q$5:$S$9,3,FALSE),"Clarify triage"))</f>
        <v>Clarify use case, role, and decision impact; run triage workshop.</v>
      </c>
      <c r="Z59" s="4"/>
    </row>
    <row r="60" spans="1:26" ht="16" x14ac:dyDescent="0.2">
      <c r="A60" s="3" t="s">
        <v>170</v>
      </c>
      <c r="B60" s="3"/>
      <c r="C60" s="3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 t="str">
        <f ca="1">IF(OR(Q60="Yes",R60="Yes",S60="Yes"),"Prohibited",IF(OR(L60="Yes",M60="Yes",N60="Yes",O60="Yes",P60="Yes"),"High-risk",IFERROR(_xludf.XLOOKUP(E60,Lookups!$Q$14:$Q$23,Lookups!$R$14:$R$23,"Unknown"),IFERROR(VLOOKUP(E60,Lookups!$Q$14:$R$23,2,FALSE),"Unknown"))))</f>
        <v>Unknown</v>
      </c>
      <c r="X60" s="5" t="str">
        <f ca="1">IFERROR(_xludf.XLOOKUP(W60,Lookups!$Q$5:$Q$9,Lookups!$R$5:$R$9,"P2"),IFERROR(VLOOKUP(W60,Lookups!$Q$5:$R$9,2,FALSE),"P2"))</f>
        <v>P2</v>
      </c>
      <c r="Y60" s="5" t="str">
        <f ca="1">IFERROR(_xludf.XLOOKUP(W60,Lookups!$Q$5:$Q$9,Lookups!$S$5:$S$9,"Clarify triage"),IFERROR(VLOOKUP(W60,Lookups!$Q$5:$S$9,3,FALSE),"Clarify triage"))</f>
        <v>Clarify use case, role, and decision impact; run triage workshop.</v>
      </c>
      <c r="Z60" s="4"/>
    </row>
    <row r="61" spans="1:26" ht="16" x14ac:dyDescent="0.2">
      <c r="A61" s="3" t="s">
        <v>171</v>
      </c>
      <c r="B61" s="3"/>
      <c r="C61" s="3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 t="str">
        <f ca="1">IF(OR(Q61="Yes",R61="Yes",S61="Yes"),"Prohibited",IF(OR(L61="Yes",M61="Yes",N61="Yes",O61="Yes",P61="Yes"),"High-risk",IFERROR(_xludf.XLOOKUP(E61,Lookups!$Q$14:$Q$23,Lookups!$R$14:$R$23,"Unknown"),IFERROR(VLOOKUP(E61,Lookups!$Q$14:$R$23,2,FALSE),"Unknown"))))</f>
        <v>Unknown</v>
      </c>
      <c r="X61" s="5" t="str">
        <f ca="1">IFERROR(_xludf.XLOOKUP(W61,Lookups!$Q$5:$Q$9,Lookups!$R$5:$R$9,"P2"),IFERROR(VLOOKUP(W61,Lookups!$Q$5:$R$9,2,FALSE),"P2"))</f>
        <v>P2</v>
      </c>
      <c r="Y61" s="5" t="str">
        <f ca="1">IFERROR(_xludf.XLOOKUP(W61,Lookups!$Q$5:$Q$9,Lookups!$S$5:$S$9,"Clarify triage"),IFERROR(VLOOKUP(W61,Lookups!$Q$5:$S$9,3,FALSE),"Clarify triage"))</f>
        <v>Clarify use case, role, and decision impact; run triage workshop.</v>
      </c>
      <c r="Z61" s="4"/>
    </row>
    <row r="62" spans="1:26" ht="16" x14ac:dyDescent="0.2">
      <c r="A62" s="3" t="s">
        <v>172</v>
      </c>
      <c r="B62" s="3"/>
      <c r="C62" s="3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 t="str">
        <f ca="1">IF(OR(Q62="Yes",R62="Yes",S62="Yes"),"Prohibited",IF(OR(L62="Yes",M62="Yes",N62="Yes",O62="Yes",P62="Yes"),"High-risk",IFERROR(_xludf.XLOOKUP(E62,Lookups!$Q$14:$Q$23,Lookups!$R$14:$R$23,"Unknown"),IFERROR(VLOOKUP(E62,Lookups!$Q$14:$R$23,2,FALSE),"Unknown"))))</f>
        <v>Unknown</v>
      </c>
      <c r="X62" s="5" t="str">
        <f ca="1">IFERROR(_xludf.XLOOKUP(W62,Lookups!$Q$5:$Q$9,Lookups!$R$5:$R$9,"P2"),IFERROR(VLOOKUP(W62,Lookups!$Q$5:$R$9,2,FALSE),"P2"))</f>
        <v>P2</v>
      </c>
      <c r="Y62" s="5" t="str">
        <f ca="1">IFERROR(_xludf.XLOOKUP(W62,Lookups!$Q$5:$Q$9,Lookups!$S$5:$S$9,"Clarify triage"),IFERROR(VLOOKUP(W62,Lookups!$Q$5:$S$9,3,FALSE),"Clarify triage"))</f>
        <v>Clarify use case, role, and decision impact; run triage workshop.</v>
      </c>
      <c r="Z62" s="4"/>
    </row>
    <row r="63" spans="1:26" ht="16" x14ac:dyDescent="0.2">
      <c r="A63" s="3" t="s">
        <v>173</v>
      </c>
      <c r="B63" s="3"/>
      <c r="C63" s="3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5" t="str">
        <f ca="1">IF(OR(Q63="Yes",R63="Yes",S63="Yes"),"Prohibited",IF(OR(L63="Yes",M63="Yes",N63="Yes",O63="Yes",P63="Yes"),"High-risk",IFERROR(_xludf.XLOOKUP(E63,Lookups!$Q$14:$Q$23,Lookups!$R$14:$R$23,"Unknown"),IFERROR(VLOOKUP(E63,Lookups!$Q$14:$R$23,2,FALSE),"Unknown"))))</f>
        <v>Unknown</v>
      </c>
      <c r="X63" s="5" t="str">
        <f ca="1">IFERROR(_xludf.XLOOKUP(W63,Lookups!$Q$5:$Q$9,Lookups!$R$5:$R$9,"P2"),IFERROR(VLOOKUP(W63,Lookups!$Q$5:$R$9,2,FALSE),"P2"))</f>
        <v>P2</v>
      </c>
      <c r="Y63" s="5" t="str">
        <f ca="1">IFERROR(_xludf.XLOOKUP(W63,Lookups!$Q$5:$Q$9,Lookups!$S$5:$S$9,"Clarify triage"),IFERROR(VLOOKUP(W63,Lookups!$Q$5:$S$9,3,FALSE),"Clarify triage"))</f>
        <v>Clarify use case, role, and decision impact; run triage workshop.</v>
      </c>
      <c r="Z63" s="4"/>
    </row>
    <row r="64" spans="1:26" ht="16" x14ac:dyDescent="0.2">
      <c r="A64" s="3" t="s">
        <v>174</v>
      </c>
      <c r="B64" s="3"/>
      <c r="C64" s="3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 t="str">
        <f ca="1">IF(OR(Q64="Yes",R64="Yes",S64="Yes"),"Prohibited",IF(OR(L64="Yes",M64="Yes",N64="Yes",O64="Yes",P64="Yes"),"High-risk",IFERROR(_xludf.XLOOKUP(E64,Lookups!$Q$14:$Q$23,Lookups!$R$14:$R$23,"Unknown"),IFERROR(VLOOKUP(E64,Lookups!$Q$14:$R$23,2,FALSE),"Unknown"))))</f>
        <v>Unknown</v>
      </c>
      <c r="X64" s="5" t="str">
        <f ca="1">IFERROR(_xludf.XLOOKUP(W64,Lookups!$Q$5:$Q$9,Lookups!$R$5:$R$9,"P2"),IFERROR(VLOOKUP(W64,Lookups!$Q$5:$R$9,2,FALSE),"P2"))</f>
        <v>P2</v>
      </c>
      <c r="Y64" s="5" t="str">
        <f ca="1">IFERROR(_xludf.XLOOKUP(W64,Lookups!$Q$5:$Q$9,Lookups!$S$5:$S$9,"Clarify triage"),IFERROR(VLOOKUP(W64,Lookups!$Q$5:$S$9,3,FALSE),"Clarify triage"))</f>
        <v>Clarify use case, role, and decision impact; run triage workshop.</v>
      </c>
      <c r="Z64" s="4"/>
    </row>
    <row r="65" spans="1:26" ht="16" x14ac:dyDescent="0.2">
      <c r="A65" s="3" t="s">
        <v>175</v>
      </c>
      <c r="B65" s="3"/>
      <c r="C65" s="3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 t="str">
        <f ca="1">IF(OR(Q65="Yes",R65="Yes",S65="Yes"),"Prohibited",IF(OR(L65="Yes",M65="Yes",N65="Yes",O65="Yes",P65="Yes"),"High-risk",IFERROR(_xludf.XLOOKUP(E65,Lookups!$Q$14:$Q$23,Lookups!$R$14:$R$23,"Unknown"),IFERROR(VLOOKUP(E65,Lookups!$Q$14:$R$23,2,FALSE),"Unknown"))))</f>
        <v>Unknown</v>
      </c>
      <c r="X65" s="5" t="str">
        <f ca="1">IFERROR(_xludf.XLOOKUP(W65,Lookups!$Q$5:$Q$9,Lookups!$R$5:$R$9,"P2"),IFERROR(VLOOKUP(W65,Lookups!$Q$5:$R$9,2,FALSE),"P2"))</f>
        <v>P2</v>
      </c>
      <c r="Y65" s="5" t="str">
        <f ca="1">IFERROR(_xludf.XLOOKUP(W65,Lookups!$Q$5:$Q$9,Lookups!$S$5:$S$9,"Clarify triage"),IFERROR(VLOOKUP(W65,Lookups!$Q$5:$S$9,3,FALSE),"Clarify triage"))</f>
        <v>Clarify use case, role, and decision impact; run triage workshop.</v>
      </c>
      <c r="Z65" s="4"/>
    </row>
    <row r="66" spans="1:26" ht="16" x14ac:dyDescent="0.2">
      <c r="A66" s="3" t="s">
        <v>176</v>
      </c>
      <c r="B66" s="3"/>
      <c r="C66" s="3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 t="str">
        <f ca="1">IF(OR(Q66="Yes",R66="Yes",S66="Yes"),"Prohibited",IF(OR(L66="Yes",M66="Yes",N66="Yes",O66="Yes",P66="Yes"),"High-risk",IFERROR(_xludf.XLOOKUP(E66,Lookups!$Q$14:$Q$23,Lookups!$R$14:$R$23,"Unknown"),IFERROR(VLOOKUP(E66,Lookups!$Q$14:$R$23,2,FALSE),"Unknown"))))</f>
        <v>Unknown</v>
      </c>
      <c r="X66" s="5" t="str">
        <f ca="1">IFERROR(_xludf.XLOOKUP(W66,Lookups!$Q$5:$Q$9,Lookups!$R$5:$R$9,"P2"),IFERROR(VLOOKUP(W66,Lookups!$Q$5:$R$9,2,FALSE),"P2"))</f>
        <v>P2</v>
      </c>
      <c r="Y66" s="5" t="str">
        <f ca="1">IFERROR(_xludf.XLOOKUP(W66,Lookups!$Q$5:$Q$9,Lookups!$S$5:$S$9,"Clarify triage"),IFERROR(VLOOKUP(W66,Lookups!$Q$5:$S$9,3,FALSE),"Clarify triage"))</f>
        <v>Clarify use case, role, and decision impact; run triage workshop.</v>
      </c>
      <c r="Z66" s="4"/>
    </row>
    <row r="67" spans="1:26" ht="16" x14ac:dyDescent="0.2">
      <c r="A67" s="3" t="s">
        <v>177</v>
      </c>
      <c r="B67" s="3"/>
      <c r="C67" s="3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 t="str">
        <f ca="1">IF(OR(Q67="Yes",R67="Yes",S67="Yes"),"Prohibited",IF(OR(L67="Yes",M67="Yes",N67="Yes",O67="Yes",P67="Yes"),"High-risk",IFERROR(_xludf.XLOOKUP(E67,Lookups!$Q$14:$Q$23,Lookups!$R$14:$R$23,"Unknown"),IFERROR(VLOOKUP(E67,Lookups!$Q$14:$R$23,2,FALSE),"Unknown"))))</f>
        <v>Unknown</v>
      </c>
      <c r="X67" s="5" t="str">
        <f ca="1">IFERROR(_xludf.XLOOKUP(W67,Lookups!$Q$5:$Q$9,Lookups!$R$5:$R$9,"P2"),IFERROR(VLOOKUP(W67,Lookups!$Q$5:$R$9,2,FALSE),"P2"))</f>
        <v>P2</v>
      </c>
      <c r="Y67" s="5" t="str">
        <f ca="1">IFERROR(_xludf.XLOOKUP(W67,Lookups!$Q$5:$Q$9,Lookups!$S$5:$S$9,"Clarify triage"),IFERROR(VLOOKUP(W67,Lookups!$Q$5:$S$9,3,FALSE),"Clarify triage"))</f>
        <v>Clarify use case, role, and decision impact; run triage workshop.</v>
      </c>
      <c r="Z67" s="4"/>
    </row>
    <row r="68" spans="1:26" ht="16" x14ac:dyDescent="0.2">
      <c r="A68" s="3" t="s">
        <v>178</v>
      </c>
      <c r="B68" s="3"/>
      <c r="C68" s="3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 t="str">
        <f ca="1">IF(OR(Q68="Yes",R68="Yes",S68="Yes"),"Prohibited",IF(OR(L68="Yes",M68="Yes",N68="Yes",O68="Yes",P68="Yes"),"High-risk",IFERROR(_xludf.XLOOKUP(E68,Lookups!$Q$14:$Q$23,Lookups!$R$14:$R$23,"Unknown"),IFERROR(VLOOKUP(E68,Lookups!$Q$14:$R$23,2,FALSE),"Unknown"))))</f>
        <v>Unknown</v>
      </c>
      <c r="X68" s="5" t="str">
        <f ca="1">IFERROR(_xludf.XLOOKUP(W68,Lookups!$Q$5:$Q$9,Lookups!$R$5:$R$9,"P2"),IFERROR(VLOOKUP(W68,Lookups!$Q$5:$R$9,2,FALSE),"P2"))</f>
        <v>P2</v>
      </c>
      <c r="Y68" s="5" t="str">
        <f ca="1">IFERROR(_xludf.XLOOKUP(W68,Lookups!$Q$5:$Q$9,Lookups!$S$5:$S$9,"Clarify triage"),IFERROR(VLOOKUP(W68,Lookups!$Q$5:$S$9,3,FALSE),"Clarify triage"))</f>
        <v>Clarify use case, role, and decision impact; run triage workshop.</v>
      </c>
      <c r="Z68" s="4"/>
    </row>
    <row r="69" spans="1:26" ht="16" x14ac:dyDescent="0.2">
      <c r="A69" s="3" t="s">
        <v>179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 t="str">
        <f ca="1">IF(OR(Q69="Yes",R69="Yes",S69="Yes"),"Prohibited",IF(OR(L69="Yes",M69="Yes",N69="Yes",O69="Yes",P69="Yes"),"High-risk",IFERROR(_xludf.XLOOKUP(E69,Lookups!$Q$14:$Q$23,Lookups!$R$14:$R$23,"Unknown"),IFERROR(VLOOKUP(E69,Lookups!$Q$14:$R$23,2,FALSE),"Unknown"))))</f>
        <v>Unknown</v>
      </c>
      <c r="X69" s="5" t="str">
        <f ca="1">IFERROR(_xludf.XLOOKUP(W69,Lookups!$Q$5:$Q$9,Lookups!$R$5:$R$9,"P2"),IFERROR(VLOOKUP(W69,Lookups!$Q$5:$R$9,2,FALSE),"P2"))</f>
        <v>P2</v>
      </c>
      <c r="Y69" s="5" t="str">
        <f ca="1">IFERROR(_xludf.XLOOKUP(W69,Lookups!$Q$5:$Q$9,Lookups!$S$5:$S$9,"Clarify triage"),IFERROR(VLOOKUP(W69,Lookups!$Q$5:$S$9,3,FALSE),"Clarify triage"))</f>
        <v>Clarify use case, role, and decision impact; run triage workshop.</v>
      </c>
      <c r="Z69" s="4"/>
    </row>
    <row r="70" spans="1:26" ht="16" x14ac:dyDescent="0.2">
      <c r="A70" s="3" t="s">
        <v>180</v>
      </c>
      <c r="B70" s="3"/>
      <c r="C70" s="3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 t="str">
        <f ca="1">IF(OR(Q70="Yes",R70="Yes",S70="Yes"),"Prohibited",IF(OR(L70="Yes",M70="Yes",N70="Yes",O70="Yes",P70="Yes"),"High-risk",IFERROR(_xludf.XLOOKUP(E70,Lookups!$Q$14:$Q$23,Lookups!$R$14:$R$23,"Unknown"),IFERROR(VLOOKUP(E70,Lookups!$Q$14:$R$23,2,FALSE),"Unknown"))))</f>
        <v>Unknown</v>
      </c>
      <c r="X70" s="5" t="str">
        <f ca="1">IFERROR(_xludf.XLOOKUP(W70,Lookups!$Q$5:$Q$9,Lookups!$R$5:$R$9,"P2"),IFERROR(VLOOKUP(W70,Lookups!$Q$5:$R$9,2,FALSE),"P2"))</f>
        <v>P2</v>
      </c>
      <c r="Y70" s="5" t="str">
        <f ca="1">IFERROR(_xludf.XLOOKUP(W70,Lookups!$Q$5:$Q$9,Lookups!$S$5:$S$9,"Clarify triage"),IFERROR(VLOOKUP(W70,Lookups!$Q$5:$S$9,3,FALSE),"Clarify triage"))</f>
        <v>Clarify use case, role, and decision impact; run triage workshop.</v>
      </c>
      <c r="Z70" s="4"/>
    </row>
    <row r="71" spans="1:26" ht="16" x14ac:dyDescent="0.2">
      <c r="A71" s="3" t="s">
        <v>181</v>
      </c>
      <c r="B71" s="3"/>
      <c r="C71" s="3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 t="str">
        <f ca="1">IF(OR(Q71="Yes",R71="Yes",S71="Yes"),"Prohibited",IF(OR(L71="Yes",M71="Yes",N71="Yes",O71="Yes",P71="Yes"),"High-risk",IFERROR(_xludf.XLOOKUP(E71,Lookups!$Q$14:$Q$23,Lookups!$R$14:$R$23,"Unknown"),IFERROR(VLOOKUP(E71,Lookups!$Q$14:$R$23,2,FALSE),"Unknown"))))</f>
        <v>Unknown</v>
      </c>
      <c r="X71" s="5" t="str">
        <f ca="1">IFERROR(_xludf.XLOOKUP(W71,Lookups!$Q$5:$Q$9,Lookups!$R$5:$R$9,"P2"),IFERROR(VLOOKUP(W71,Lookups!$Q$5:$R$9,2,FALSE),"P2"))</f>
        <v>P2</v>
      </c>
      <c r="Y71" s="5" t="str">
        <f ca="1">IFERROR(_xludf.XLOOKUP(W71,Lookups!$Q$5:$Q$9,Lookups!$S$5:$S$9,"Clarify triage"),IFERROR(VLOOKUP(W71,Lookups!$Q$5:$S$9,3,FALSE),"Clarify triage"))</f>
        <v>Clarify use case, role, and decision impact; run triage workshop.</v>
      </c>
      <c r="Z71" s="4"/>
    </row>
    <row r="72" spans="1:26" ht="16" x14ac:dyDescent="0.2">
      <c r="A72" s="3" t="s">
        <v>182</v>
      </c>
      <c r="B72" s="3"/>
      <c r="C72" s="3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 t="str">
        <f ca="1">IF(OR(Q72="Yes",R72="Yes",S72="Yes"),"Prohibited",IF(OR(L72="Yes",M72="Yes",N72="Yes",O72="Yes",P72="Yes"),"High-risk",IFERROR(_xludf.XLOOKUP(E72,Lookups!$Q$14:$Q$23,Lookups!$R$14:$R$23,"Unknown"),IFERROR(VLOOKUP(E72,Lookups!$Q$14:$R$23,2,FALSE),"Unknown"))))</f>
        <v>Unknown</v>
      </c>
      <c r="X72" s="5" t="str">
        <f ca="1">IFERROR(_xludf.XLOOKUP(W72,Lookups!$Q$5:$Q$9,Lookups!$R$5:$R$9,"P2"),IFERROR(VLOOKUP(W72,Lookups!$Q$5:$R$9,2,FALSE),"P2"))</f>
        <v>P2</v>
      </c>
      <c r="Y72" s="5" t="str">
        <f ca="1">IFERROR(_xludf.XLOOKUP(W72,Lookups!$Q$5:$Q$9,Lookups!$S$5:$S$9,"Clarify triage"),IFERROR(VLOOKUP(W72,Lookups!$Q$5:$S$9,3,FALSE),"Clarify triage"))</f>
        <v>Clarify use case, role, and decision impact; run triage workshop.</v>
      </c>
      <c r="Z72" s="4"/>
    </row>
    <row r="73" spans="1:26" ht="16" x14ac:dyDescent="0.2">
      <c r="A73" s="3" t="s">
        <v>183</v>
      </c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 t="str">
        <f ca="1">IF(OR(Q73="Yes",R73="Yes",S73="Yes"),"Prohibited",IF(OR(L73="Yes",M73="Yes",N73="Yes",O73="Yes",P73="Yes"),"High-risk",IFERROR(_xludf.XLOOKUP(E73,Lookups!$Q$14:$Q$23,Lookups!$R$14:$R$23,"Unknown"),IFERROR(VLOOKUP(E73,Lookups!$Q$14:$R$23,2,FALSE),"Unknown"))))</f>
        <v>Unknown</v>
      </c>
      <c r="X73" s="5" t="str">
        <f ca="1">IFERROR(_xludf.XLOOKUP(W73,Lookups!$Q$5:$Q$9,Lookups!$R$5:$R$9,"P2"),IFERROR(VLOOKUP(W73,Lookups!$Q$5:$R$9,2,FALSE),"P2"))</f>
        <v>P2</v>
      </c>
      <c r="Y73" s="5" t="str">
        <f ca="1">IFERROR(_xludf.XLOOKUP(W73,Lookups!$Q$5:$Q$9,Lookups!$S$5:$S$9,"Clarify triage"),IFERROR(VLOOKUP(W73,Lookups!$Q$5:$S$9,3,FALSE),"Clarify triage"))</f>
        <v>Clarify use case, role, and decision impact; run triage workshop.</v>
      </c>
      <c r="Z73" s="4"/>
    </row>
    <row r="74" spans="1:26" ht="16" x14ac:dyDescent="0.2">
      <c r="A74" s="3" t="s">
        <v>184</v>
      </c>
      <c r="B74" s="3"/>
      <c r="C74" s="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 t="str">
        <f ca="1">IF(OR(Q74="Yes",R74="Yes",S74="Yes"),"Prohibited",IF(OR(L74="Yes",M74="Yes",N74="Yes",O74="Yes",P74="Yes"),"High-risk",IFERROR(_xludf.XLOOKUP(E74,Lookups!$Q$14:$Q$23,Lookups!$R$14:$R$23,"Unknown"),IFERROR(VLOOKUP(E74,Lookups!$Q$14:$R$23,2,FALSE),"Unknown"))))</f>
        <v>Unknown</v>
      </c>
      <c r="X74" s="5" t="str">
        <f ca="1">IFERROR(_xludf.XLOOKUP(W74,Lookups!$Q$5:$Q$9,Lookups!$R$5:$R$9,"P2"),IFERROR(VLOOKUP(W74,Lookups!$Q$5:$R$9,2,FALSE),"P2"))</f>
        <v>P2</v>
      </c>
      <c r="Y74" s="5" t="str">
        <f ca="1">IFERROR(_xludf.XLOOKUP(W74,Lookups!$Q$5:$Q$9,Lookups!$S$5:$S$9,"Clarify triage"),IFERROR(VLOOKUP(W74,Lookups!$Q$5:$S$9,3,FALSE),"Clarify triage"))</f>
        <v>Clarify use case, role, and decision impact; run triage workshop.</v>
      </c>
      <c r="Z74" s="4"/>
    </row>
    <row r="75" spans="1:26" ht="16" x14ac:dyDescent="0.2">
      <c r="A75" s="3" t="s">
        <v>185</v>
      </c>
      <c r="B75" s="3"/>
      <c r="C75" s="3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 t="str">
        <f ca="1">IF(OR(Q75="Yes",R75="Yes",S75="Yes"),"Prohibited",IF(OR(L75="Yes",M75="Yes",N75="Yes",O75="Yes",P75="Yes"),"High-risk",IFERROR(_xludf.XLOOKUP(E75,Lookups!$Q$14:$Q$23,Lookups!$R$14:$R$23,"Unknown"),IFERROR(VLOOKUP(E75,Lookups!$Q$14:$R$23,2,FALSE),"Unknown"))))</f>
        <v>Unknown</v>
      </c>
      <c r="X75" s="5" t="str">
        <f ca="1">IFERROR(_xludf.XLOOKUP(W75,Lookups!$Q$5:$Q$9,Lookups!$R$5:$R$9,"P2"),IFERROR(VLOOKUP(W75,Lookups!$Q$5:$R$9,2,FALSE),"P2"))</f>
        <v>P2</v>
      </c>
      <c r="Y75" s="5" t="str">
        <f ca="1">IFERROR(_xludf.XLOOKUP(W75,Lookups!$Q$5:$Q$9,Lookups!$S$5:$S$9,"Clarify triage"),IFERROR(VLOOKUP(W75,Lookups!$Q$5:$S$9,3,FALSE),"Clarify triage"))</f>
        <v>Clarify use case, role, and decision impact; run triage workshop.</v>
      </c>
      <c r="Z75" s="4"/>
    </row>
    <row r="76" spans="1:26" ht="16" x14ac:dyDescent="0.2">
      <c r="A76" s="3" t="s">
        <v>186</v>
      </c>
      <c r="B76" s="3"/>
      <c r="C76" s="3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 t="str">
        <f ca="1">IF(OR(Q76="Yes",R76="Yes",S76="Yes"),"Prohibited",IF(OR(L76="Yes",M76="Yes",N76="Yes",O76="Yes",P76="Yes"),"High-risk",IFERROR(_xludf.XLOOKUP(E76,Lookups!$Q$14:$Q$23,Lookups!$R$14:$R$23,"Unknown"),IFERROR(VLOOKUP(E76,Lookups!$Q$14:$R$23,2,FALSE),"Unknown"))))</f>
        <v>Unknown</v>
      </c>
      <c r="X76" s="5" t="str">
        <f ca="1">IFERROR(_xludf.XLOOKUP(W76,Lookups!$Q$5:$Q$9,Lookups!$R$5:$R$9,"P2"),IFERROR(VLOOKUP(W76,Lookups!$Q$5:$R$9,2,FALSE),"P2"))</f>
        <v>P2</v>
      </c>
      <c r="Y76" s="5" t="str">
        <f ca="1">IFERROR(_xludf.XLOOKUP(W76,Lookups!$Q$5:$Q$9,Lookups!$S$5:$S$9,"Clarify triage"),IFERROR(VLOOKUP(W76,Lookups!$Q$5:$S$9,3,FALSE),"Clarify triage"))</f>
        <v>Clarify use case, role, and decision impact; run triage workshop.</v>
      </c>
      <c r="Z76" s="4"/>
    </row>
    <row r="77" spans="1:26" ht="16" x14ac:dyDescent="0.2">
      <c r="A77" s="3" t="s">
        <v>187</v>
      </c>
      <c r="B77" s="3"/>
      <c r="C77" s="3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 t="str">
        <f ca="1">IF(OR(Q77="Yes",R77="Yes",S77="Yes"),"Prohibited",IF(OR(L77="Yes",M77="Yes",N77="Yes",O77="Yes",P77="Yes"),"High-risk",IFERROR(_xludf.XLOOKUP(E77,Lookups!$Q$14:$Q$23,Lookups!$R$14:$R$23,"Unknown"),IFERROR(VLOOKUP(E77,Lookups!$Q$14:$R$23,2,FALSE),"Unknown"))))</f>
        <v>Unknown</v>
      </c>
      <c r="X77" s="5" t="str">
        <f ca="1">IFERROR(_xludf.XLOOKUP(W77,Lookups!$Q$5:$Q$9,Lookups!$R$5:$R$9,"P2"),IFERROR(VLOOKUP(W77,Lookups!$Q$5:$R$9,2,FALSE),"P2"))</f>
        <v>P2</v>
      </c>
      <c r="Y77" s="5" t="str">
        <f ca="1">IFERROR(_xludf.XLOOKUP(W77,Lookups!$Q$5:$Q$9,Lookups!$S$5:$S$9,"Clarify triage"),IFERROR(VLOOKUP(W77,Lookups!$Q$5:$S$9,3,FALSE),"Clarify triage"))</f>
        <v>Clarify use case, role, and decision impact; run triage workshop.</v>
      </c>
      <c r="Z77" s="4"/>
    </row>
    <row r="78" spans="1:26" ht="16" x14ac:dyDescent="0.2">
      <c r="A78" s="3" t="s">
        <v>188</v>
      </c>
      <c r="B78" s="3"/>
      <c r="C78" s="3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 t="str">
        <f ca="1">IF(OR(Q78="Yes",R78="Yes",S78="Yes"),"Prohibited",IF(OR(L78="Yes",M78="Yes",N78="Yes",O78="Yes",P78="Yes"),"High-risk",IFERROR(_xludf.XLOOKUP(E78,Lookups!$Q$14:$Q$23,Lookups!$R$14:$R$23,"Unknown"),IFERROR(VLOOKUP(E78,Lookups!$Q$14:$R$23,2,FALSE),"Unknown"))))</f>
        <v>Unknown</v>
      </c>
      <c r="X78" s="5" t="str">
        <f ca="1">IFERROR(_xludf.XLOOKUP(W78,Lookups!$Q$5:$Q$9,Lookups!$R$5:$R$9,"P2"),IFERROR(VLOOKUP(W78,Lookups!$Q$5:$R$9,2,FALSE),"P2"))</f>
        <v>P2</v>
      </c>
      <c r="Y78" s="5" t="str">
        <f ca="1">IFERROR(_xludf.XLOOKUP(W78,Lookups!$Q$5:$Q$9,Lookups!$S$5:$S$9,"Clarify triage"),IFERROR(VLOOKUP(W78,Lookups!$Q$5:$S$9,3,FALSE),"Clarify triage"))</f>
        <v>Clarify use case, role, and decision impact; run triage workshop.</v>
      </c>
      <c r="Z78" s="4"/>
    </row>
    <row r="79" spans="1:26" ht="16" x14ac:dyDescent="0.2">
      <c r="A79" s="3" t="s">
        <v>189</v>
      </c>
      <c r="B79" s="3"/>
      <c r="C79" s="3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 t="str">
        <f ca="1">IF(OR(Q79="Yes",R79="Yes",S79="Yes"),"Prohibited",IF(OR(L79="Yes",M79="Yes",N79="Yes",O79="Yes",P79="Yes"),"High-risk",IFERROR(_xludf.XLOOKUP(E79,Lookups!$Q$14:$Q$23,Lookups!$R$14:$R$23,"Unknown"),IFERROR(VLOOKUP(E79,Lookups!$Q$14:$R$23,2,FALSE),"Unknown"))))</f>
        <v>Unknown</v>
      </c>
      <c r="X79" s="5" t="str">
        <f ca="1">IFERROR(_xludf.XLOOKUP(W79,Lookups!$Q$5:$Q$9,Lookups!$R$5:$R$9,"P2"),IFERROR(VLOOKUP(W79,Lookups!$Q$5:$R$9,2,FALSE),"P2"))</f>
        <v>P2</v>
      </c>
      <c r="Y79" s="5" t="str">
        <f ca="1">IFERROR(_xludf.XLOOKUP(W79,Lookups!$Q$5:$Q$9,Lookups!$S$5:$S$9,"Clarify triage"),IFERROR(VLOOKUP(W79,Lookups!$Q$5:$S$9,3,FALSE),"Clarify triage"))</f>
        <v>Clarify use case, role, and decision impact; run triage workshop.</v>
      </c>
      <c r="Z79" s="4"/>
    </row>
    <row r="80" spans="1:26" ht="16" x14ac:dyDescent="0.2">
      <c r="A80" s="3" t="s">
        <v>190</v>
      </c>
      <c r="B80" s="3"/>
      <c r="C80" s="3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 t="str">
        <f ca="1">IF(OR(Q80="Yes",R80="Yes",S80="Yes"),"Prohibited",IF(OR(L80="Yes",M80="Yes",N80="Yes",O80="Yes",P80="Yes"),"High-risk",IFERROR(_xludf.XLOOKUP(E80,Lookups!$Q$14:$Q$23,Lookups!$R$14:$R$23,"Unknown"),IFERROR(VLOOKUP(E80,Lookups!$Q$14:$R$23,2,FALSE),"Unknown"))))</f>
        <v>Unknown</v>
      </c>
      <c r="X80" s="5" t="str">
        <f ca="1">IFERROR(_xludf.XLOOKUP(W80,Lookups!$Q$5:$Q$9,Lookups!$R$5:$R$9,"P2"),IFERROR(VLOOKUP(W80,Lookups!$Q$5:$R$9,2,FALSE),"P2"))</f>
        <v>P2</v>
      </c>
      <c r="Y80" s="5" t="str">
        <f ca="1">IFERROR(_xludf.XLOOKUP(W80,Lookups!$Q$5:$Q$9,Lookups!$S$5:$S$9,"Clarify triage"),IFERROR(VLOOKUP(W80,Lookups!$Q$5:$S$9,3,FALSE),"Clarify triage"))</f>
        <v>Clarify use case, role, and decision impact; run triage workshop.</v>
      </c>
      <c r="Z80" s="4"/>
    </row>
    <row r="81" spans="1:26" ht="16" x14ac:dyDescent="0.2">
      <c r="A81" s="3" t="s">
        <v>191</v>
      </c>
      <c r="B81" s="3"/>
      <c r="C81" s="3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 t="str">
        <f ca="1">IF(OR(Q81="Yes",R81="Yes",S81="Yes"),"Prohibited",IF(OR(L81="Yes",M81="Yes",N81="Yes",O81="Yes",P81="Yes"),"High-risk",IFERROR(_xludf.XLOOKUP(E81,Lookups!$Q$14:$Q$23,Lookups!$R$14:$R$23,"Unknown"),IFERROR(VLOOKUP(E81,Lookups!$Q$14:$R$23,2,FALSE),"Unknown"))))</f>
        <v>Unknown</v>
      </c>
      <c r="X81" s="5" t="str">
        <f ca="1">IFERROR(_xludf.XLOOKUP(W81,Lookups!$Q$5:$Q$9,Lookups!$R$5:$R$9,"P2"),IFERROR(VLOOKUP(W81,Lookups!$Q$5:$R$9,2,FALSE),"P2"))</f>
        <v>P2</v>
      </c>
      <c r="Y81" s="5" t="str">
        <f ca="1">IFERROR(_xludf.XLOOKUP(W81,Lookups!$Q$5:$Q$9,Lookups!$S$5:$S$9,"Clarify triage"),IFERROR(VLOOKUP(W81,Lookups!$Q$5:$S$9,3,FALSE),"Clarify triage"))</f>
        <v>Clarify use case, role, and decision impact; run triage workshop.</v>
      </c>
      <c r="Z81" s="4"/>
    </row>
    <row r="82" spans="1:26" ht="16" x14ac:dyDescent="0.2">
      <c r="A82" s="3" t="s">
        <v>192</v>
      </c>
      <c r="B82" s="3"/>
      <c r="C82" s="3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 t="str">
        <f ca="1">IF(OR(Q82="Yes",R82="Yes",S82="Yes"),"Prohibited",IF(OR(L82="Yes",M82="Yes",N82="Yes",O82="Yes",P82="Yes"),"High-risk",IFERROR(_xludf.XLOOKUP(E82,Lookups!$Q$14:$Q$23,Lookups!$R$14:$R$23,"Unknown"),IFERROR(VLOOKUP(E82,Lookups!$Q$14:$R$23,2,FALSE),"Unknown"))))</f>
        <v>Unknown</v>
      </c>
      <c r="X82" s="5" t="str">
        <f ca="1">IFERROR(_xludf.XLOOKUP(W82,Lookups!$Q$5:$Q$9,Lookups!$R$5:$R$9,"P2"),IFERROR(VLOOKUP(W82,Lookups!$Q$5:$R$9,2,FALSE),"P2"))</f>
        <v>P2</v>
      </c>
      <c r="Y82" s="5" t="str">
        <f ca="1">IFERROR(_xludf.XLOOKUP(W82,Lookups!$Q$5:$Q$9,Lookups!$S$5:$S$9,"Clarify triage"),IFERROR(VLOOKUP(W82,Lookups!$Q$5:$S$9,3,FALSE),"Clarify triage"))</f>
        <v>Clarify use case, role, and decision impact; run triage workshop.</v>
      </c>
      <c r="Z82" s="4"/>
    </row>
    <row r="83" spans="1:26" ht="16" x14ac:dyDescent="0.2">
      <c r="A83" s="3" t="s">
        <v>193</v>
      </c>
      <c r="B83" s="3"/>
      <c r="C83" s="3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 t="str">
        <f ca="1">IF(OR(Q83="Yes",R83="Yes",S83="Yes"),"Prohibited",IF(OR(L83="Yes",M83="Yes",N83="Yes",O83="Yes",P83="Yes"),"High-risk",IFERROR(_xludf.XLOOKUP(E83,Lookups!$Q$14:$Q$23,Lookups!$R$14:$R$23,"Unknown"),IFERROR(VLOOKUP(E83,Lookups!$Q$14:$R$23,2,FALSE),"Unknown"))))</f>
        <v>Unknown</v>
      </c>
      <c r="X83" s="5" t="str">
        <f ca="1">IFERROR(_xludf.XLOOKUP(W83,Lookups!$Q$5:$Q$9,Lookups!$R$5:$R$9,"P2"),IFERROR(VLOOKUP(W83,Lookups!$Q$5:$R$9,2,FALSE),"P2"))</f>
        <v>P2</v>
      </c>
      <c r="Y83" s="5" t="str">
        <f ca="1">IFERROR(_xludf.XLOOKUP(W83,Lookups!$Q$5:$Q$9,Lookups!$S$5:$S$9,"Clarify triage"),IFERROR(VLOOKUP(W83,Lookups!$Q$5:$S$9,3,FALSE),"Clarify triage"))</f>
        <v>Clarify use case, role, and decision impact; run triage workshop.</v>
      </c>
      <c r="Z83" s="4"/>
    </row>
    <row r="84" spans="1:26" ht="16" x14ac:dyDescent="0.2">
      <c r="A84" s="3" t="s">
        <v>194</v>
      </c>
      <c r="B84" s="3"/>
      <c r="C84" s="3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 t="str">
        <f ca="1">IF(OR(Q84="Yes",R84="Yes",S84="Yes"),"Prohibited",IF(OR(L84="Yes",M84="Yes",N84="Yes",O84="Yes",P84="Yes"),"High-risk",IFERROR(_xludf.XLOOKUP(E84,Lookups!$Q$14:$Q$23,Lookups!$R$14:$R$23,"Unknown"),IFERROR(VLOOKUP(E84,Lookups!$Q$14:$R$23,2,FALSE),"Unknown"))))</f>
        <v>Unknown</v>
      </c>
      <c r="X84" s="5" t="str">
        <f ca="1">IFERROR(_xludf.XLOOKUP(W84,Lookups!$Q$5:$Q$9,Lookups!$R$5:$R$9,"P2"),IFERROR(VLOOKUP(W84,Lookups!$Q$5:$R$9,2,FALSE),"P2"))</f>
        <v>P2</v>
      </c>
      <c r="Y84" s="5" t="str">
        <f ca="1">IFERROR(_xludf.XLOOKUP(W84,Lookups!$Q$5:$Q$9,Lookups!$S$5:$S$9,"Clarify triage"),IFERROR(VLOOKUP(W84,Lookups!$Q$5:$S$9,3,FALSE),"Clarify triage"))</f>
        <v>Clarify use case, role, and decision impact; run triage workshop.</v>
      </c>
      <c r="Z84" s="4"/>
    </row>
    <row r="85" spans="1:26" ht="16" x14ac:dyDescent="0.2">
      <c r="A85" s="3" t="s">
        <v>195</v>
      </c>
      <c r="B85" s="3"/>
      <c r="C85" s="3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 t="str">
        <f ca="1">IF(OR(Q85="Yes",R85="Yes",S85="Yes"),"Prohibited",IF(OR(L85="Yes",M85="Yes",N85="Yes",O85="Yes",P85="Yes"),"High-risk",IFERROR(_xludf.XLOOKUP(E85,Lookups!$Q$14:$Q$23,Lookups!$R$14:$R$23,"Unknown"),IFERROR(VLOOKUP(E85,Lookups!$Q$14:$R$23,2,FALSE),"Unknown"))))</f>
        <v>Unknown</v>
      </c>
      <c r="X85" s="5" t="str">
        <f ca="1">IFERROR(_xludf.XLOOKUP(W85,Lookups!$Q$5:$Q$9,Lookups!$R$5:$R$9,"P2"),IFERROR(VLOOKUP(W85,Lookups!$Q$5:$R$9,2,FALSE),"P2"))</f>
        <v>P2</v>
      </c>
      <c r="Y85" s="5" t="str">
        <f ca="1">IFERROR(_xludf.XLOOKUP(W85,Lookups!$Q$5:$Q$9,Lookups!$S$5:$S$9,"Clarify triage"),IFERROR(VLOOKUP(W85,Lookups!$Q$5:$S$9,3,FALSE),"Clarify triage"))</f>
        <v>Clarify use case, role, and decision impact; run triage workshop.</v>
      </c>
      <c r="Z85" s="4"/>
    </row>
    <row r="86" spans="1:26" ht="16" x14ac:dyDescent="0.2">
      <c r="A86" s="3" t="s">
        <v>196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 t="str">
        <f ca="1">IF(OR(Q86="Yes",R86="Yes",S86="Yes"),"Prohibited",IF(OR(L86="Yes",M86="Yes",N86="Yes",O86="Yes",P86="Yes"),"High-risk",IFERROR(_xludf.XLOOKUP(E86,Lookups!$Q$14:$Q$23,Lookups!$R$14:$R$23,"Unknown"),IFERROR(VLOOKUP(E86,Lookups!$Q$14:$R$23,2,FALSE),"Unknown"))))</f>
        <v>Unknown</v>
      </c>
      <c r="X86" s="5" t="str">
        <f ca="1">IFERROR(_xludf.XLOOKUP(W86,Lookups!$Q$5:$Q$9,Lookups!$R$5:$R$9,"P2"),IFERROR(VLOOKUP(W86,Lookups!$Q$5:$R$9,2,FALSE),"P2"))</f>
        <v>P2</v>
      </c>
      <c r="Y86" s="5" t="str">
        <f ca="1">IFERROR(_xludf.XLOOKUP(W86,Lookups!$Q$5:$Q$9,Lookups!$S$5:$S$9,"Clarify triage"),IFERROR(VLOOKUP(W86,Lookups!$Q$5:$S$9,3,FALSE),"Clarify triage"))</f>
        <v>Clarify use case, role, and decision impact; run triage workshop.</v>
      </c>
      <c r="Z86" s="4"/>
    </row>
    <row r="87" spans="1:26" ht="16" x14ac:dyDescent="0.2">
      <c r="A87" s="3" t="s">
        <v>197</v>
      </c>
      <c r="B87" s="3"/>
      <c r="C87" s="3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 t="str">
        <f ca="1">IF(OR(Q87="Yes",R87="Yes",S87="Yes"),"Prohibited",IF(OR(L87="Yes",M87="Yes",N87="Yes",O87="Yes",P87="Yes"),"High-risk",IFERROR(_xludf.XLOOKUP(E87,Lookups!$Q$14:$Q$23,Lookups!$R$14:$R$23,"Unknown"),IFERROR(VLOOKUP(E87,Lookups!$Q$14:$R$23,2,FALSE),"Unknown"))))</f>
        <v>Unknown</v>
      </c>
      <c r="X87" s="5" t="str">
        <f ca="1">IFERROR(_xludf.XLOOKUP(W87,Lookups!$Q$5:$Q$9,Lookups!$R$5:$R$9,"P2"),IFERROR(VLOOKUP(W87,Lookups!$Q$5:$R$9,2,FALSE),"P2"))</f>
        <v>P2</v>
      </c>
      <c r="Y87" s="5" t="str">
        <f ca="1">IFERROR(_xludf.XLOOKUP(W87,Lookups!$Q$5:$Q$9,Lookups!$S$5:$S$9,"Clarify triage"),IFERROR(VLOOKUP(W87,Lookups!$Q$5:$S$9,3,FALSE),"Clarify triage"))</f>
        <v>Clarify use case, role, and decision impact; run triage workshop.</v>
      </c>
      <c r="Z87" s="4"/>
    </row>
    <row r="88" spans="1:26" ht="16" x14ac:dyDescent="0.2">
      <c r="A88" s="3" t="s">
        <v>198</v>
      </c>
      <c r="B88" s="3"/>
      <c r="C88" s="3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 t="str">
        <f ca="1">IF(OR(Q88="Yes",R88="Yes",S88="Yes"),"Prohibited",IF(OR(L88="Yes",M88="Yes",N88="Yes",O88="Yes",P88="Yes"),"High-risk",IFERROR(_xludf.XLOOKUP(E88,Lookups!$Q$14:$Q$23,Lookups!$R$14:$R$23,"Unknown"),IFERROR(VLOOKUP(E88,Lookups!$Q$14:$R$23,2,FALSE),"Unknown"))))</f>
        <v>Unknown</v>
      </c>
      <c r="X88" s="5" t="str">
        <f ca="1">IFERROR(_xludf.XLOOKUP(W88,Lookups!$Q$5:$Q$9,Lookups!$R$5:$R$9,"P2"),IFERROR(VLOOKUP(W88,Lookups!$Q$5:$R$9,2,FALSE),"P2"))</f>
        <v>P2</v>
      </c>
      <c r="Y88" s="5" t="str">
        <f ca="1">IFERROR(_xludf.XLOOKUP(W88,Lookups!$Q$5:$Q$9,Lookups!$S$5:$S$9,"Clarify triage"),IFERROR(VLOOKUP(W88,Lookups!$Q$5:$S$9,3,FALSE),"Clarify triage"))</f>
        <v>Clarify use case, role, and decision impact; run triage workshop.</v>
      </c>
      <c r="Z88" s="4"/>
    </row>
    <row r="89" spans="1:26" ht="16" x14ac:dyDescent="0.2">
      <c r="A89" s="3" t="s">
        <v>199</v>
      </c>
      <c r="B89" s="3"/>
      <c r="C89" s="3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 t="str">
        <f ca="1">IF(OR(Q89="Yes",R89="Yes",S89="Yes"),"Prohibited",IF(OR(L89="Yes",M89="Yes",N89="Yes",O89="Yes",P89="Yes"),"High-risk",IFERROR(_xludf.XLOOKUP(E89,Lookups!$Q$14:$Q$23,Lookups!$R$14:$R$23,"Unknown"),IFERROR(VLOOKUP(E89,Lookups!$Q$14:$R$23,2,FALSE),"Unknown"))))</f>
        <v>Unknown</v>
      </c>
      <c r="X89" s="5" t="str">
        <f ca="1">IFERROR(_xludf.XLOOKUP(W89,Lookups!$Q$5:$Q$9,Lookups!$R$5:$R$9,"P2"),IFERROR(VLOOKUP(W89,Lookups!$Q$5:$R$9,2,FALSE),"P2"))</f>
        <v>P2</v>
      </c>
      <c r="Y89" s="5" t="str">
        <f ca="1">IFERROR(_xludf.XLOOKUP(W89,Lookups!$Q$5:$Q$9,Lookups!$S$5:$S$9,"Clarify triage"),IFERROR(VLOOKUP(W89,Lookups!$Q$5:$S$9,3,FALSE),"Clarify triage"))</f>
        <v>Clarify use case, role, and decision impact; run triage workshop.</v>
      </c>
      <c r="Z89" s="4"/>
    </row>
    <row r="90" spans="1:26" ht="16" x14ac:dyDescent="0.2">
      <c r="A90" s="3" t="s">
        <v>200</v>
      </c>
      <c r="B90" s="3"/>
      <c r="C90" s="3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 t="str">
        <f ca="1">IF(OR(Q90="Yes",R90="Yes",S90="Yes"),"Prohibited",IF(OR(L90="Yes",M90="Yes",N90="Yes",O90="Yes",P90="Yes"),"High-risk",IFERROR(_xludf.XLOOKUP(E90,Lookups!$Q$14:$Q$23,Lookups!$R$14:$R$23,"Unknown"),IFERROR(VLOOKUP(E90,Lookups!$Q$14:$R$23,2,FALSE),"Unknown"))))</f>
        <v>Unknown</v>
      </c>
      <c r="X90" s="5" t="str">
        <f ca="1">IFERROR(_xludf.XLOOKUP(W90,Lookups!$Q$5:$Q$9,Lookups!$R$5:$R$9,"P2"),IFERROR(VLOOKUP(W90,Lookups!$Q$5:$R$9,2,FALSE),"P2"))</f>
        <v>P2</v>
      </c>
      <c r="Y90" s="5" t="str">
        <f ca="1">IFERROR(_xludf.XLOOKUP(W90,Lookups!$Q$5:$Q$9,Lookups!$S$5:$S$9,"Clarify triage"),IFERROR(VLOOKUP(W90,Lookups!$Q$5:$S$9,3,FALSE),"Clarify triage"))</f>
        <v>Clarify use case, role, and decision impact; run triage workshop.</v>
      </c>
      <c r="Z90" s="4"/>
    </row>
    <row r="91" spans="1:26" ht="16" x14ac:dyDescent="0.2">
      <c r="A91" s="3" t="s">
        <v>201</v>
      </c>
      <c r="B91" s="3"/>
      <c r="C91" s="3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 t="str">
        <f ca="1">IF(OR(Q91="Yes",R91="Yes",S91="Yes"),"Prohibited",IF(OR(L91="Yes",M91="Yes",N91="Yes",O91="Yes",P91="Yes"),"High-risk",IFERROR(_xludf.XLOOKUP(E91,Lookups!$Q$14:$Q$23,Lookups!$R$14:$R$23,"Unknown"),IFERROR(VLOOKUP(E91,Lookups!$Q$14:$R$23,2,FALSE),"Unknown"))))</f>
        <v>Unknown</v>
      </c>
      <c r="X91" s="5" t="str">
        <f ca="1">IFERROR(_xludf.XLOOKUP(W91,Lookups!$Q$5:$Q$9,Lookups!$R$5:$R$9,"P2"),IFERROR(VLOOKUP(W91,Lookups!$Q$5:$R$9,2,FALSE),"P2"))</f>
        <v>P2</v>
      </c>
      <c r="Y91" s="5" t="str">
        <f ca="1">IFERROR(_xludf.XLOOKUP(W91,Lookups!$Q$5:$Q$9,Lookups!$S$5:$S$9,"Clarify triage"),IFERROR(VLOOKUP(W91,Lookups!$Q$5:$S$9,3,FALSE),"Clarify triage"))</f>
        <v>Clarify use case, role, and decision impact; run triage workshop.</v>
      </c>
      <c r="Z91" s="4"/>
    </row>
    <row r="92" spans="1:26" ht="16" x14ac:dyDescent="0.2">
      <c r="A92" s="3" t="s">
        <v>202</v>
      </c>
      <c r="B92" s="3"/>
      <c r="C92" s="3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 t="str">
        <f ca="1">IF(OR(Q92="Yes",R92="Yes",S92="Yes"),"Prohibited",IF(OR(L92="Yes",M92="Yes",N92="Yes",O92="Yes",P92="Yes"),"High-risk",IFERROR(_xludf.XLOOKUP(E92,Lookups!$Q$14:$Q$23,Lookups!$R$14:$R$23,"Unknown"),IFERROR(VLOOKUP(E92,Lookups!$Q$14:$R$23,2,FALSE),"Unknown"))))</f>
        <v>Unknown</v>
      </c>
      <c r="X92" s="5" t="str">
        <f ca="1">IFERROR(_xludf.XLOOKUP(W92,Lookups!$Q$5:$Q$9,Lookups!$R$5:$R$9,"P2"),IFERROR(VLOOKUP(W92,Lookups!$Q$5:$R$9,2,FALSE),"P2"))</f>
        <v>P2</v>
      </c>
      <c r="Y92" s="5" t="str">
        <f ca="1">IFERROR(_xludf.XLOOKUP(W92,Lookups!$Q$5:$Q$9,Lookups!$S$5:$S$9,"Clarify triage"),IFERROR(VLOOKUP(W92,Lookups!$Q$5:$S$9,3,FALSE),"Clarify triage"))</f>
        <v>Clarify use case, role, and decision impact; run triage workshop.</v>
      </c>
      <c r="Z92" s="4"/>
    </row>
    <row r="93" spans="1:26" ht="16" x14ac:dyDescent="0.2">
      <c r="A93" s="3" t="s">
        <v>203</v>
      </c>
      <c r="B93" s="3"/>
      <c r="C93" s="3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 t="str">
        <f ca="1">IF(OR(Q93="Yes",R93="Yes",S93="Yes"),"Prohibited",IF(OR(L93="Yes",M93="Yes",N93="Yes",O93="Yes",P93="Yes"),"High-risk",IFERROR(_xludf.XLOOKUP(E93,Lookups!$Q$14:$Q$23,Lookups!$R$14:$R$23,"Unknown"),IFERROR(VLOOKUP(E93,Lookups!$Q$14:$R$23,2,FALSE),"Unknown"))))</f>
        <v>Unknown</v>
      </c>
      <c r="X93" s="5" t="str">
        <f ca="1">IFERROR(_xludf.XLOOKUP(W93,Lookups!$Q$5:$Q$9,Lookups!$R$5:$R$9,"P2"),IFERROR(VLOOKUP(W93,Lookups!$Q$5:$R$9,2,FALSE),"P2"))</f>
        <v>P2</v>
      </c>
      <c r="Y93" s="5" t="str">
        <f ca="1">IFERROR(_xludf.XLOOKUP(W93,Lookups!$Q$5:$Q$9,Lookups!$S$5:$S$9,"Clarify triage"),IFERROR(VLOOKUP(W93,Lookups!$Q$5:$S$9,3,FALSE),"Clarify triage"))</f>
        <v>Clarify use case, role, and decision impact; run triage workshop.</v>
      </c>
      <c r="Z93" s="4"/>
    </row>
    <row r="94" spans="1:26" ht="16" x14ac:dyDescent="0.2">
      <c r="A94" s="3" t="s">
        <v>204</v>
      </c>
      <c r="B94" s="3"/>
      <c r="C94" s="3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 t="str">
        <f ca="1">IF(OR(Q94="Yes",R94="Yes",S94="Yes"),"Prohibited",IF(OR(L94="Yes",M94="Yes",N94="Yes",O94="Yes",P94="Yes"),"High-risk",IFERROR(_xludf.XLOOKUP(E94,Lookups!$Q$14:$Q$23,Lookups!$R$14:$R$23,"Unknown"),IFERROR(VLOOKUP(E94,Lookups!$Q$14:$R$23,2,FALSE),"Unknown"))))</f>
        <v>Unknown</v>
      </c>
      <c r="X94" s="5" t="str">
        <f ca="1">IFERROR(_xludf.XLOOKUP(W94,Lookups!$Q$5:$Q$9,Lookups!$R$5:$R$9,"P2"),IFERROR(VLOOKUP(W94,Lookups!$Q$5:$R$9,2,FALSE),"P2"))</f>
        <v>P2</v>
      </c>
      <c r="Y94" s="5" t="str">
        <f ca="1">IFERROR(_xludf.XLOOKUP(W94,Lookups!$Q$5:$Q$9,Lookups!$S$5:$S$9,"Clarify triage"),IFERROR(VLOOKUP(W94,Lookups!$Q$5:$S$9,3,FALSE),"Clarify triage"))</f>
        <v>Clarify use case, role, and decision impact; run triage workshop.</v>
      </c>
      <c r="Z94" s="4"/>
    </row>
    <row r="95" spans="1:26" ht="16" x14ac:dyDescent="0.2">
      <c r="A95" s="3" t="s">
        <v>205</v>
      </c>
      <c r="B95" s="3"/>
      <c r="C95" s="3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 t="str">
        <f ca="1">IF(OR(Q95="Yes",R95="Yes",S95="Yes"),"Prohibited",IF(OR(L95="Yes",M95="Yes",N95="Yes",O95="Yes",P95="Yes"),"High-risk",IFERROR(_xludf.XLOOKUP(E95,Lookups!$Q$14:$Q$23,Lookups!$R$14:$R$23,"Unknown"),IFERROR(VLOOKUP(E95,Lookups!$Q$14:$R$23,2,FALSE),"Unknown"))))</f>
        <v>Unknown</v>
      </c>
      <c r="X95" s="5" t="str">
        <f ca="1">IFERROR(_xludf.XLOOKUP(W95,Lookups!$Q$5:$Q$9,Lookups!$R$5:$R$9,"P2"),IFERROR(VLOOKUP(W95,Lookups!$Q$5:$R$9,2,FALSE),"P2"))</f>
        <v>P2</v>
      </c>
      <c r="Y95" s="5" t="str">
        <f ca="1">IFERROR(_xludf.XLOOKUP(W95,Lookups!$Q$5:$Q$9,Lookups!$S$5:$S$9,"Clarify triage"),IFERROR(VLOOKUP(W95,Lookups!$Q$5:$S$9,3,FALSE),"Clarify triage"))</f>
        <v>Clarify use case, role, and decision impact; run triage workshop.</v>
      </c>
      <c r="Z95" s="4"/>
    </row>
    <row r="96" spans="1:26" ht="16" x14ac:dyDescent="0.2">
      <c r="A96" s="3" t="s">
        <v>206</v>
      </c>
      <c r="B96" s="3"/>
      <c r="C96" s="3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 t="str">
        <f ca="1">IF(OR(Q96="Yes",R96="Yes",S96="Yes"),"Prohibited",IF(OR(L96="Yes",M96="Yes",N96="Yes",O96="Yes",P96="Yes"),"High-risk",IFERROR(_xludf.XLOOKUP(E96,Lookups!$Q$14:$Q$23,Lookups!$R$14:$R$23,"Unknown"),IFERROR(VLOOKUP(E96,Lookups!$Q$14:$R$23,2,FALSE),"Unknown"))))</f>
        <v>Unknown</v>
      </c>
      <c r="X96" s="5" t="str">
        <f ca="1">IFERROR(_xludf.XLOOKUP(W96,Lookups!$Q$5:$Q$9,Lookups!$R$5:$R$9,"P2"),IFERROR(VLOOKUP(W96,Lookups!$Q$5:$R$9,2,FALSE),"P2"))</f>
        <v>P2</v>
      </c>
      <c r="Y96" s="5" t="str">
        <f ca="1">IFERROR(_xludf.XLOOKUP(W96,Lookups!$Q$5:$Q$9,Lookups!$S$5:$S$9,"Clarify triage"),IFERROR(VLOOKUP(W96,Lookups!$Q$5:$S$9,3,FALSE),"Clarify triage"))</f>
        <v>Clarify use case, role, and decision impact; run triage workshop.</v>
      </c>
      <c r="Z96" s="4"/>
    </row>
    <row r="97" spans="1:26" ht="16" x14ac:dyDescent="0.2">
      <c r="A97" s="3" t="s">
        <v>207</v>
      </c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 t="str">
        <f ca="1">IF(OR(Q97="Yes",R97="Yes",S97="Yes"),"Prohibited",IF(OR(L97="Yes",M97="Yes",N97="Yes",O97="Yes",P97="Yes"),"High-risk",IFERROR(_xludf.XLOOKUP(E97,Lookups!$Q$14:$Q$23,Lookups!$R$14:$R$23,"Unknown"),IFERROR(VLOOKUP(E97,Lookups!$Q$14:$R$23,2,FALSE),"Unknown"))))</f>
        <v>Unknown</v>
      </c>
      <c r="X97" s="5" t="str">
        <f ca="1">IFERROR(_xludf.XLOOKUP(W97,Lookups!$Q$5:$Q$9,Lookups!$R$5:$R$9,"P2"),IFERROR(VLOOKUP(W97,Lookups!$Q$5:$R$9,2,FALSE),"P2"))</f>
        <v>P2</v>
      </c>
      <c r="Y97" s="5" t="str">
        <f ca="1">IFERROR(_xludf.XLOOKUP(W97,Lookups!$Q$5:$Q$9,Lookups!$S$5:$S$9,"Clarify triage"),IFERROR(VLOOKUP(W97,Lookups!$Q$5:$S$9,3,FALSE),"Clarify triage"))</f>
        <v>Clarify use case, role, and decision impact; run triage workshop.</v>
      </c>
      <c r="Z97" s="4"/>
    </row>
    <row r="98" spans="1:26" ht="16" x14ac:dyDescent="0.2">
      <c r="A98" s="3" t="s">
        <v>208</v>
      </c>
      <c r="B98" s="3"/>
      <c r="C98" s="3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5" t="str">
        <f ca="1">IF(OR(Q98="Yes",R98="Yes",S98="Yes"),"Prohibited",IF(OR(L98="Yes",M98="Yes",N98="Yes",O98="Yes",P98="Yes"),"High-risk",IFERROR(_xludf.XLOOKUP(E98,Lookups!$Q$14:$Q$23,Lookups!$R$14:$R$23,"Unknown"),IFERROR(VLOOKUP(E98,Lookups!$Q$14:$R$23,2,FALSE),"Unknown"))))</f>
        <v>Unknown</v>
      </c>
      <c r="X98" s="5" t="str">
        <f ca="1">IFERROR(_xludf.XLOOKUP(W98,Lookups!$Q$5:$Q$9,Lookups!$R$5:$R$9,"P2"),IFERROR(VLOOKUP(W98,Lookups!$Q$5:$R$9,2,FALSE),"P2"))</f>
        <v>P2</v>
      </c>
      <c r="Y98" s="5" t="str">
        <f ca="1">IFERROR(_xludf.XLOOKUP(W98,Lookups!$Q$5:$Q$9,Lookups!$S$5:$S$9,"Clarify triage"),IFERROR(VLOOKUP(W98,Lookups!$Q$5:$S$9,3,FALSE),"Clarify triage"))</f>
        <v>Clarify use case, role, and decision impact; run triage workshop.</v>
      </c>
      <c r="Z98" s="4"/>
    </row>
    <row r="99" spans="1:26" ht="16" x14ac:dyDescent="0.2">
      <c r="A99" s="3" t="s">
        <v>209</v>
      </c>
      <c r="B99" s="3"/>
      <c r="C99" s="3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 t="str">
        <f ca="1">IF(OR(Q99="Yes",R99="Yes",S99="Yes"),"Prohibited",IF(OR(L99="Yes",M99="Yes",N99="Yes",O99="Yes",P99="Yes"),"High-risk",IFERROR(_xludf.XLOOKUP(E99,Lookups!$Q$14:$Q$23,Lookups!$R$14:$R$23,"Unknown"),IFERROR(VLOOKUP(E99,Lookups!$Q$14:$R$23,2,FALSE),"Unknown"))))</f>
        <v>Unknown</v>
      </c>
      <c r="X99" s="5" t="str">
        <f ca="1">IFERROR(_xludf.XLOOKUP(W99,Lookups!$Q$5:$Q$9,Lookups!$R$5:$R$9,"P2"),IFERROR(VLOOKUP(W99,Lookups!$Q$5:$R$9,2,FALSE),"P2"))</f>
        <v>P2</v>
      </c>
      <c r="Y99" s="5" t="str">
        <f ca="1">IFERROR(_xludf.XLOOKUP(W99,Lookups!$Q$5:$Q$9,Lookups!$S$5:$S$9,"Clarify triage"),IFERROR(VLOOKUP(W99,Lookups!$Q$5:$S$9,3,FALSE),"Clarify triage"))</f>
        <v>Clarify use case, role, and decision impact; run triage workshop.</v>
      </c>
      <c r="Z99" s="4"/>
    </row>
    <row r="100" spans="1:26" ht="16" x14ac:dyDescent="0.2">
      <c r="A100" s="3" t="s">
        <v>210</v>
      </c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 t="str">
        <f ca="1">IF(OR(Q100="Yes",R100="Yes",S100="Yes"),"Prohibited",IF(OR(L100="Yes",M100="Yes",N100="Yes",O100="Yes",P100="Yes"),"High-risk",IFERROR(_xludf.XLOOKUP(E100,Lookups!$Q$14:$Q$23,Lookups!$R$14:$R$23,"Unknown"),IFERROR(VLOOKUP(E100,Lookups!$Q$14:$R$23,2,FALSE),"Unknown"))))</f>
        <v>Unknown</v>
      </c>
      <c r="X100" s="5" t="str">
        <f ca="1">IFERROR(_xludf.XLOOKUP(W100,Lookups!$Q$5:$Q$9,Lookups!$R$5:$R$9,"P2"),IFERROR(VLOOKUP(W100,Lookups!$Q$5:$R$9,2,FALSE),"P2"))</f>
        <v>P2</v>
      </c>
      <c r="Y100" s="5" t="str">
        <f ca="1">IFERROR(_xludf.XLOOKUP(W100,Lookups!$Q$5:$Q$9,Lookups!$S$5:$S$9,"Clarify triage"),IFERROR(VLOOKUP(W100,Lookups!$Q$5:$S$9,3,FALSE),"Clarify triage"))</f>
        <v>Clarify use case, role, and decision impact; run triage workshop.</v>
      </c>
      <c r="Z100" s="4"/>
    </row>
    <row r="101" spans="1:26" ht="16" x14ac:dyDescent="0.2">
      <c r="A101" s="3" t="s">
        <v>211</v>
      </c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 t="str">
        <f ca="1">IF(OR(Q101="Yes",R101="Yes",S101="Yes"),"Prohibited",IF(OR(L101="Yes",M101="Yes",N101="Yes",O101="Yes",P101="Yes"),"High-risk",IFERROR(_xludf.XLOOKUP(E101,Lookups!$Q$14:$Q$23,Lookups!$R$14:$R$23,"Unknown"),IFERROR(VLOOKUP(E101,Lookups!$Q$14:$R$23,2,FALSE),"Unknown"))))</f>
        <v>Unknown</v>
      </c>
      <c r="X101" s="5" t="str">
        <f ca="1">IFERROR(_xludf.XLOOKUP(W101,Lookups!$Q$5:$Q$9,Lookups!$R$5:$R$9,"P2"),IFERROR(VLOOKUP(W101,Lookups!$Q$5:$R$9,2,FALSE),"P2"))</f>
        <v>P2</v>
      </c>
      <c r="Y101" s="5" t="str">
        <f ca="1">IFERROR(_xludf.XLOOKUP(W101,Lookups!$Q$5:$Q$9,Lookups!$S$5:$S$9,"Clarify triage"),IFERROR(VLOOKUP(W101,Lookups!$Q$5:$S$9,3,FALSE),"Clarify triage"))</f>
        <v>Clarify use case, role, and decision impact; run triage workshop.</v>
      </c>
      <c r="Z101" s="4"/>
    </row>
    <row r="102" spans="1:26" ht="16" x14ac:dyDescent="0.2">
      <c r="A102" s="3" t="s">
        <v>212</v>
      </c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5" t="str">
        <f ca="1">IF(OR(Q102="Yes",R102="Yes",S102="Yes"),"Prohibited",IF(OR(L102="Yes",M102="Yes",N102="Yes",O102="Yes",P102="Yes"),"High-risk",IFERROR(_xludf.XLOOKUP(E102,Lookups!$Q$14:$Q$23,Lookups!$R$14:$R$23,"Unknown"),IFERROR(VLOOKUP(E102,Lookups!$Q$14:$R$23,2,FALSE),"Unknown"))))</f>
        <v>Unknown</v>
      </c>
      <c r="X102" s="5" t="str">
        <f ca="1">IFERROR(_xludf.XLOOKUP(W102,Lookups!$Q$5:$Q$9,Lookups!$R$5:$R$9,"P2"),IFERROR(VLOOKUP(W102,Lookups!$Q$5:$R$9,2,FALSE),"P2"))</f>
        <v>P2</v>
      </c>
      <c r="Y102" s="5" t="str">
        <f ca="1">IFERROR(_xludf.XLOOKUP(W102,Lookups!$Q$5:$Q$9,Lookups!$S$5:$S$9,"Clarify triage"),IFERROR(VLOOKUP(W102,Lookups!$Q$5:$S$9,3,FALSE),"Clarify triage"))</f>
        <v>Clarify use case, role, and decision impact; run triage workshop.</v>
      </c>
      <c r="Z102" s="4"/>
    </row>
    <row r="103" spans="1:26" ht="16" x14ac:dyDescent="0.2">
      <c r="A103" s="3" t="s">
        <v>213</v>
      </c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 t="str">
        <f ca="1">IF(OR(Q103="Yes",R103="Yes",S103="Yes"),"Prohibited",IF(OR(L103="Yes",M103="Yes",N103="Yes",O103="Yes",P103="Yes"),"High-risk",IFERROR(_xludf.XLOOKUP(E103,Lookups!$Q$14:$Q$23,Lookups!$R$14:$R$23,"Unknown"),IFERROR(VLOOKUP(E103,Lookups!$Q$14:$R$23,2,FALSE),"Unknown"))))</f>
        <v>Unknown</v>
      </c>
      <c r="X103" s="5" t="str">
        <f ca="1">IFERROR(_xludf.XLOOKUP(W103,Lookups!$Q$5:$Q$9,Lookups!$R$5:$R$9,"P2"),IFERROR(VLOOKUP(W103,Lookups!$Q$5:$R$9,2,FALSE),"P2"))</f>
        <v>P2</v>
      </c>
      <c r="Y103" s="5" t="str">
        <f ca="1">IFERROR(_xludf.XLOOKUP(W103,Lookups!$Q$5:$Q$9,Lookups!$S$5:$S$9,"Clarify triage"),IFERROR(VLOOKUP(W103,Lookups!$Q$5:$S$9,3,FALSE),"Clarify triage"))</f>
        <v>Clarify use case, role, and decision impact; run triage workshop.</v>
      </c>
      <c r="Z103" s="4"/>
    </row>
    <row r="104" spans="1:26" ht="16" x14ac:dyDescent="0.2">
      <c r="A104" s="3" t="s">
        <v>214</v>
      </c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 t="str">
        <f ca="1">IF(OR(Q104="Yes",R104="Yes",S104="Yes"),"Prohibited",IF(OR(L104="Yes",M104="Yes",N104="Yes",O104="Yes",P104="Yes"),"High-risk",IFERROR(_xludf.XLOOKUP(E104,Lookups!$Q$14:$Q$23,Lookups!$R$14:$R$23,"Unknown"),IFERROR(VLOOKUP(E104,Lookups!$Q$14:$R$23,2,FALSE),"Unknown"))))</f>
        <v>Unknown</v>
      </c>
      <c r="X104" s="5" t="str">
        <f ca="1">IFERROR(_xludf.XLOOKUP(W104,Lookups!$Q$5:$Q$9,Lookups!$R$5:$R$9,"P2"),IFERROR(VLOOKUP(W104,Lookups!$Q$5:$R$9,2,FALSE),"P2"))</f>
        <v>P2</v>
      </c>
      <c r="Y104" s="5" t="str">
        <f ca="1">IFERROR(_xludf.XLOOKUP(W104,Lookups!$Q$5:$Q$9,Lookups!$S$5:$S$9,"Clarify triage"),IFERROR(VLOOKUP(W104,Lookups!$Q$5:$S$9,3,FALSE),"Clarify triage"))</f>
        <v>Clarify use case, role, and decision impact; run triage workshop.</v>
      </c>
      <c r="Z104" s="4"/>
    </row>
    <row r="105" spans="1:26" ht="16" x14ac:dyDescent="0.2">
      <c r="A105" s="3" t="s">
        <v>215</v>
      </c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 t="str">
        <f ca="1">IF(OR(Q105="Yes",R105="Yes",S105="Yes"),"Prohibited",IF(OR(L105="Yes",M105="Yes",N105="Yes",O105="Yes",P105="Yes"),"High-risk",IFERROR(_xludf.XLOOKUP(E105,Lookups!$Q$14:$Q$23,Lookups!$R$14:$R$23,"Unknown"),IFERROR(VLOOKUP(E105,Lookups!$Q$14:$R$23,2,FALSE),"Unknown"))))</f>
        <v>Unknown</v>
      </c>
      <c r="X105" s="5" t="str">
        <f ca="1">IFERROR(_xludf.XLOOKUP(W105,Lookups!$Q$5:$Q$9,Lookups!$R$5:$R$9,"P2"),IFERROR(VLOOKUP(W105,Lookups!$Q$5:$R$9,2,FALSE),"P2"))</f>
        <v>P2</v>
      </c>
      <c r="Y105" s="5" t="str">
        <f ca="1">IFERROR(_xludf.XLOOKUP(W105,Lookups!$Q$5:$Q$9,Lookups!$S$5:$S$9,"Clarify triage"),IFERROR(VLOOKUP(W105,Lookups!$Q$5:$S$9,3,FALSE),"Clarify triage"))</f>
        <v>Clarify use case, role, and decision impact; run triage workshop.</v>
      </c>
      <c r="Z105" s="4"/>
    </row>
    <row r="106" spans="1:26" ht="16" x14ac:dyDescent="0.2">
      <c r="A106" s="3" t="s">
        <v>216</v>
      </c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 t="str">
        <f ca="1">IF(OR(Q106="Yes",R106="Yes",S106="Yes"),"Prohibited",IF(OR(L106="Yes",M106="Yes",N106="Yes",O106="Yes",P106="Yes"),"High-risk",IFERROR(_xludf.XLOOKUP(E106,Lookups!$Q$14:$Q$23,Lookups!$R$14:$R$23,"Unknown"),IFERROR(VLOOKUP(E106,Lookups!$Q$14:$R$23,2,FALSE),"Unknown"))))</f>
        <v>Unknown</v>
      </c>
      <c r="X106" s="5" t="str">
        <f ca="1">IFERROR(_xludf.XLOOKUP(W106,Lookups!$Q$5:$Q$9,Lookups!$R$5:$R$9,"P2"),IFERROR(VLOOKUP(W106,Lookups!$Q$5:$R$9,2,FALSE),"P2"))</f>
        <v>P2</v>
      </c>
      <c r="Y106" s="5" t="str">
        <f ca="1">IFERROR(_xludf.XLOOKUP(W106,Lookups!$Q$5:$Q$9,Lookups!$S$5:$S$9,"Clarify triage"),IFERROR(VLOOKUP(W106,Lookups!$Q$5:$S$9,3,FALSE),"Clarify triage"))</f>
        <v>Clarify use case, role, and decision impact; run triage workshop.</v>
      </c>
      <c r="Z106" s="4"/>
    </row>
    <row r="107" spans="1:26" ht="16" x14ac:dyDescent="0.2">
      <c r="A107" s="3" t="s">
        <v>217</v>
      </c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 t="str">
        <f ca="1">IF(OR(Q107="Yes",R107="Yes",S107="Yes"),"Prohibited",IF(OR(L107="Yes",M107="Yes",N107="Yes",O107="Yes",P107="Yes"),"High-risk",IFERROR(_xludf.XLOOKUP(E107,Lookups!$Q$14:$Q$23,Lookups!$R$14:$R$23,"Unknown"),IFERROR(VLOOKUP(E107,Lookups!$Q$14:$R$23,2,FALSE),"Unknown"))))</f>
        <v>Unknown</v>
      </c>
      <c r="X107" s="5" t="str">
        <f ca="1">IFERROR(_xludf.XLOOKUP(W107,Lookups!$Q$5:$Q$9,Lookups!$R$5:$R$9,"P2"),IFERROR(VLOOKUP(W107,Lookups!$Q$5:$R$9,2,FALSE),"P2"))</f>
        <v>P2</v>
      </c>
      <c r="Y107" s="5" t="str">
        <f ca="1">IFERROR(_xludf.XLOOKUP(W107,Lookups!$Q$5:$Q$9,Lookups!$S$5:$S$9,"Clarify triage"),IFERROR(VLOOKUP(W107,Lookups!$Q$5:$S$9,3,FALSE),"Clarify triage"))</f>
        <v>Clarify use case, role, and decision impact; run triage workshop.</v>
      </c>
      <c r="Z107" s="4"/>
    </row>
    <row r="108" spans="1:26" ht="16" x14ac:dyDescent="0.2">
      <c r="A108" s="3" t="s">
        <v>218</v>
      </c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 t="str">
        <f ca="1">IF(OR(Q108="Yes",R108="Yes",S108="Yes"),"Prohibited",IF(OR(L108="Yes",M108="Yes",N108="Yes",O108="Yes",P108="Yes"),"High-risk",IFERROR(_xludf.XLOOKUP(E108,Lookups!$Q$14:$Q$23,Lookups!$R$14:$R$23,"Unknown"),IFERROR(VLOOKUP(E108,Lookups!$Q$14:$R$23,2,FALSE),"Unknown"))))</f>
        <v>Unknown</v>
      </c>
      <c r="X108" s="5" t="str">
        <f ca="1">IFERROR(_xludf.XLOOKUP(W108,Lookups!$Q$5:$Q$9,Lookups!$R$5:$R$9,"P2"),IFERROR(VLOOKUP(W108,Lookups!$Q$5:$R$9,2,FALSE),"P2"))</f>
        <v>P2</v>
      </c>
      <c r="Y108" s="5" t="str">
        <f ca="1">IFERROR(_xludf.XLOOKUP(W108,Lookups!$Q$5:$Q$9,Lookups!$S$5:$S$9,"Clarify triage"),IFERROR(VLOOKUP(W108,Lookups!$Q$5:$S$9,3,FALSE),"Clarify triage"))</f>
        <v>Clarify use case, role, and decision impact; run triage workshop.</v>
      </c>
      <c r="Z108" s="4"/>
    </row>
    <row r="109" spans="1:26" ht="16" x14ac:dyDescent="0.2">
      <c r="A109" s="3" t="s">
        <v>219</v>
      </c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 t="str">
        <f ca="1">IF(OR(Q109="Yes",R109="Yes",S109="Yes"),"Prohibited",IF(OR(L109="Yes",M109="Yes",N109="Yes",O109="Yes",P109="Yes"),"High-risk",IFERROR(_xludf.XLOOKUP(E109,Lookups!$Q$14:$Q$23,Lookups!$R$14:$R$23,"Unknown"),IFERROR(VLOOKUP(E109,Lookups!$Q$14:$R$23,2,FALSE),"Unknown"))))</f>
        <v>Unknown</v>
      </c>
      <c r="X109" s="5" t="str">
        <f ca="1">IFERROR(_xludf.XLOOKUP(W109,Lookups!$Q$5:$Q$9,Lookups!$R$5:$R$9,"P2"),IFERROR(VLOOKUP(W109,Lookups!$Q$5:$R$9,2,FALSE),"P2"))</f>
        <v>P2</v>
      </c>
      <c r="Y109" s="5" t="str">
        <f ca="1">IFERROR(_xludf.XLOOKUP(W109,Lookups!$Q$5:$Q$9,Lookups!$S$5:$S$9,"Clarify triage"),IFERROR(VLOOKUP(W109,Lookups!$Q$5:$S$9,3,FALSE),"Clarify triage"))</f>
        <v>Clarify use case, role, and decision impact; run triage workshop.</v>
      </c>
      <c r="Z109" s="4"/>
    </row>
    <row r="110" spans="1:26" ht="16" x14ac:dyDescent="0.2">
      <c r="A110" s="3" t="s">
        <v>220</v>
      </c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 t="str">
        <f ca="1">IF(OR(Q110="Yes",R110="Yes",S110="Yes"),"Prohibited",IF(OR(L110="Yes",M110="Yes",N110="Yes",O110="Yes",P110="Yes"),"High-risk",IFERROR(_xludf.XLOOKUP(E110,Lookups!$Q$14:$Q$23,Lookups!$R$14:$R$23,"Unknown"),IFERROR(VLOOKUP(E110,Lookups!$Q$14:$R$23,2,FALSE),"Unknown"))))</f>
        <v>Unknown</v>
      </c>
      <c r="X110" s="5" t="str">
        <f ca="1">IFERROR(_xludf.XLOOKUP(W110,Lookups!$Q$5:$Q$9,Lookups!$R$5:$R$9,"P2"),IFERROR(VLOOKUP(W110,Lookups!$Q$5:$R$9,2,FALSE),"P2"))</f>
        <v>P2</v>
      </c>
      <c r="Y110" s="5" t="str">
        <f ca="1">IFERROR(_xludf.XLOOKUP(W110,Lookups!$Q$5:$Q$9,Lookups!$S$5:$S$9,"Clarify triage"),IFERROR(VLOOKUP(W110,Lookups!$Q$5:$S$9,3,FALSE),"Clarify triage"))</f>
        <v>Clarify use case, role, and decision impact; run triage workshop.</v>
      </c>
      <c r="Z110" s="4"/>
    </row>
    <row r="111" spans="1:26" ht="16" x14ac:dyDescent="0.2">
      <c r="A111" s="3" t="s">
        <v>221</v>
      </c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 t="str">
        <f ca="1">IF(OR(Q111="Yes",R111="Yes",S111="Yes"),"Prohibited",IF(OR(L111="Yes",M111="Yes",N111="Yes",O111="Yes",P111="Yes"),"High-risk",IFERROR(_xludf.XLOOKUP(E111,Lookups!$Q$14:$Q$23,Lookups!$R$14:$R$23,"Unknown"),IFERROR(VLOOKUP(E111,Lookups!$Q$14:$R$23,2,FALSE),"Unknown"))))</f>
        <v>Unknown</v>
      </c>
      <c r="X111" s="5" t="str">
        <f ca="1">IFERROR(_xludf.XLOOKUP(W111,Lookups!$Q$5:$Q$9,Lookups!$R$5:$R$9,"P2"),IFERROR(VLOOKUP(W111,Lookups!$Q$5:$R$9,2,FALSE),"P2"))</f>
        <v>P2</v>
      </c>
      <c r="Y111" s="5" t="str">
        <f ca="1">IFERROR(_xludf.XLOOKUP(W111,Lookups!$Q$5:$Q$9,Lookups!$S$5:$S$9,"Clarify triage"),IFERROR(VLOOKUP(W111,Lookups!$Q$5:$S$9,3,FALSE),"Clarify triage"))</f>
        <v>Clarify use case, role, and decision impact; run triage workshop.</v>
      </c>
      <c r="Z111" s="4"/>
    </row>
    <row r="112" spans="1:26" ht="16" x14ac:dyDescent="0.2">
      <c r="A112" s="3" t="s">
        <v>222</v>
      </c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 t="str">
        <f ca="1">IF(OR(Q112="Yes",R112="Yes",S112="Yes"),"Prohibited",IF(OR(L112="Yes",M112="Yes",N112="Yes",O112="Yes",P112="Yes"),"High-risk",IFERROR(_xludf.XLOOKUP(E112,Lookups!$Q$14:$Q$23,Lookups!$R$14:$R$23,"Unknown"),IFERROR(VLOOKUP(E112,Lookups!$Q$14:$R$23,2,FALSE),"Unknown"))))</f>
        <v>Unknown</v>
      </c>
      <c r="X112" s="5" t="str">
        <f ca="1">IFERROR(_xludf.XLOOKUP(W112,Lookups!$Q$5:$Q$9,Lookups!$R$5:$R$9,"P2"),IFERROR(VLOOKUP(W112,Lookups!$Q$5:$R$9,2,FALSE),"P2"))</f>
        <v>P2</v>
      </c>
      <c r="Y112" s="5" t="str">
        <f ca="1">IFERROR(_xludf.XLOOKUP(W112,Lookups!$Q$5:$Q$9,Lookups!$S$5:$S$9,"Clarify triage"),IFERROR(VLOOKUP(W112,Lookups!$Q$5:$S$9,3,FALSE),"Clarify triage"))</f>
        <v>Clarify use case, role, and decision impact; run triage workshop.</v>
      </c>
      <c r="Z112" s="4"/>
    </row>
    <row r="113" spans="1:26" ht="16" x14ac:dyDescent="0.2">
      <c r="A113" s="3" t="s">
        <v>223</v>
      </c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 t="str">
        <f ca="1">IF(OR(Q113="Yes",R113="Yes",S113="Yes"),"Prohibited",IF(OR(L113="Yes",M113="Yes",N113="Yes",O113="Yes",P113="Yes"),"High-risk",IFERROR(_xludf.XLOOKUP(E113,Lookups!$Q$14:$Q$23,Lookups!$R$14:$R$23,"Unknown"),IFERROR(VLOOKUP(E113,Lookups!$Q$14:$R$23,2,FALSE),"Unknown"))))</f>
        <v>Unknown</v>
      </c>
      <c r="X113" s="5" t="str">
        <f ca="1">IFERROR(_xludf.XLOOKUP(W113,Lookups!$Q$5:$Q$9,Lookups!$R$5:$R$9,"P2"),IFERROR(VLOOKUP(W113,Lookups!$Q$5:$R$9,2,FALSE),"P2"))</f>
        <v>P2</v>
      </c>
      <c r="Y113" s="5" t="str">
        <f ca="1">IFERROR(_xludf.XLOOKUP(W113,Lookups!$Q$5:$Q$9,Lookups!$S$5:$S$9,"Clarify triage"),IFERROR(VLOOKUP(W113,Lookups!$Q$5:$S$9,3,FALSE),"Clarify triage"))</f>
        <v>Clarify use case, role, and decision impact; run triage workshop.</v>
      </c>
      <c r="Z113" s="4"/>
    </row>
    <row r="114" spans="1:26" ht="16" x14ac:dyDescent="0.2">
      <c r="A114" s="3" t="s">
        <v>224</v>
      </c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 t="str">
        <f ca="1">IF(OR(Q114="Yes",R114="Yes",S114="Yes"),"Prohibited",IF(OR(L114="Yes",M114="Yes",N114="Yes",O114="Yes",P114="Yes"),"High-risk",IFERROR(_xludf.XLOOKUP(E114,Lookups!$Q$14:$Q$23,Lookups!$R$14:$R$23,"Unknown"),IFERROR(VLOOKUP(E114,Lookups!$Q$14:$R$23,2,FALSE),"Unknown"))))</f>
        <v>Unknown</v>
      </c>
      <c r="X114" s="5" t="str">
        <f ca="1">IFERROR(_xludf.XLOOKUP(W114,Lookups!$Q$5:$Q$9,Lookups!$R$5:$R$9,"P2"),IFERROR(VLOOKUP(W114,Lookups!$Q$5:$R$9,2,FALSE),"P2"))</f>
        <v>P2</v>
      </c>
      <c r="Y114" s="5" t="str">
        <f ca="1">IFERROR(_xludf.XLOOKUP(W114,Lookups!$Q$5:$Q$9,Lookups!$S$5:$S$9,"Clarify triage"),IFERROR(VLOOKUP(W114,Lookups!$Q$5:$S$9,3,FALSE),"Clarify triage"))</f>
        <v>Clarify use case, role, and decision impact; run triage workshop.</v>
      </c>
      <c r="Z114" s="4"/>
    </row>
    <row r="115" spans="1:26" ht="16" x14ac:dyDescent="0.2">
      <c r="A115" s="3" t="s">
        <v>225</v>
      </c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 t="str">
        <f ca="1">IF(OR(Q115="Yes",R115="Yes",S115="Yes"),"Prohibited",IF(OR(L115="Yes",M115="Yes",N115="Yes",O115="Yes",P115="Yes"),"High-risk",IFERROR(_xludf.XLOOKUP(E115,Lookups!$Q$14:$Q$23,Lookups!$R$14:$R$23,"Unknown"),IFERROR(VLOOKUP(E115,Lookups!$Q$14:$R$23,2,FALSE),"Unknown"))))</f>
        <v>Unknown</v>
      </c>
      <c r="X115" s="5" t="str">
        <f ca="1">IFERROR(_xludf.XLOOKUP(W115,Lookups!$Q$5:$Q$9,Lookups!$R$5:$R$9,"P2"),IFERROR(VLOOKUP(W115,Lookups!$Q$5:$R$9,2,FALSE),"P2"))</f>
        <v>P2</v>
      </c>
      <c r="Y115" s="5" t="str">
        <f ca="1">IFERROR(_xludf.XLOOKUP(W115,Lookups!$Q$5:$Q$9,Lookups!$S$5:$S$9,"Clarify triage"),IFERROR(VLOOKUP(W115,Lookups!$Q$5:$S$9,3,FALSE),"Clarify triage"))</f>
        <v>Clarify use case, role, and decision impact; run triage workshop.</v>
      </c>
      <c r="Z115" s="4"/>
    </row>
    <row r="116" spans="1:26" ht="16" x14ac:dyDescent="0.2">
      <c r="A116" s="3" t="s">
        <v>226</v>
      </c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 t="str">
        <f ca="1">IF(OR(Q116="Yes",R116="Yes",S116="Yes"),"Prohibited",IF(OR(L116="Yes",M116="Yes",N116="Yes",O116="Yes",P116="Yes"),"High-risk",IFERROR(_xludf.XLOOKUP(E116,Lookups!$Q$14:$Q$23,Lookups!$R$14:$R$23,"Unknown"),IFERROR(VLOOKUP(E116,Lookups!$Q$14:$R$23,2,FALSE),"Unknown"))))</f>
        <v>Unknown</v>
      </c>
      <c r="X116" s="5" t="str">
        <f ca="1">IFERROR(_xludf.XLOOKUP(W116,Lookups!$Q$5:$Q$9,Lookups!$R$5:$R$9,"P2"),IFERROR(VLOOKUP(W116,Lookups!$Q$5:$R$9,2,FALSE),"P2"))</f>
        <v>P2</v>
      </c>
      <c r="Y116" s="5" t="str">
        <f ca="1">IFERROR(_xludf.XLOOKUP(W116,Lookups!$Q$5:$Q$9,Lookups!$S$5:$S$9,"Clarify triage"),IFERROR(VLOOKUP(W116,Lookups!$Q$5:$S$9,3,FALSE),"Clarify triage"))</f>
        <v>Clarify use case, role, and decision impact; run triage workshop.</v>
      </c>
      <c r="Z116" s="4"/>
    </row>
    <row r="117" spans="1:26" ht="16" x14ac:dyDescent="0.2">
      <c r="A117" s="3" t="s">
        <v>227</v>
      </c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 t="str">
        <f ca="1">IF(OR(Q117="Yes",R117="Yes",S117="Yes"),"Prohibited",IF(OR(L117="Yes",M117="Yes",N117="Yes",O117="Yes",P117="Yes"),"High-risk",IFERROR(_xludf.XLOOKUP(E117,Lookups!$Q$14:$Q$23,Lookups!$R$14:$R$23,"Unknown"),IFERROR(VLOOKUP(E117,Lookups!$Q$14:$R$23,2,FALSE),"Unknown"))))</f>
        <v>Unknown</v>
      </c>
      <c r="X117" s="5" t="str">
        <f ca="1">IFERROR(_xludf.XLOOKUP(W117,Lookups!$Q$5:$Q$9,Lookups!$R$5:$R$9,"P2"),IFERROR(VLOOKUP(W117,Lookups!$Q$5:$R$9,2,FALSE),"P2"))</f>
        <v>P2</v>
      </c>
      <c r="Y117" s="5" t="str">
        <f ca="1">IFERROR(_xludf.XLOOKUP(W117,Lookups!$Q$5:$Q$9,Lookups!$S$5:$S$9,"Clarify triage"),IFERROR(VLOOKUP(W117,Lookups!$Q$5:$S$9,3,FALSE),"Clarify triage"))</f>
        <v>Clarify use case, role, and decision impact; run triage workshop.</v>
      </c>
      <c r="Z117" s="4"/>
    </row>
    <row r="118" spans="1:26" ht="16" x14ac:dyDescent="0.2">
      <c r="A118" s="3" t="s">
        <v>228</v>
      </c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 t="str">
        <f ca="1">IF(OR(Q118="Yes",R118="Yes",S118="Yes"),"Prohibited",IF(OR(L118="Yes",M118="Yes",N118="Yes",O118="Yes",P118="Yes"),"High-risk",IFERROR(_xludf.XLOOKUP(E118,Lookups!$Q$14:$Q$23,Lookups!$R$14:$R$23,"Unknown"),IFERROR(VLOOKUP(E118,Lookups!$Q$14:$R$23,2,FALSE),"Unknown"))))</f>
        <v>Unknown</v>
      </c>
      <c r="X118" s="5" t="str">
        <f ca="1">IFERROR(_xludf.XLOOKUP(W118,Lookups!$Q$5:$Q$9,Lookups!$R$5:$R$9,"P2"),IFERROR(VLOOKUP(W118,Lookups!$Q$5:$R$9,2,FALSE),"P2"))</f>
        <v>P2</v>
      </c>
      <c r="Y118" s="5" t="str">
        <f ca="1">IFERROR(_xludf.XLOOKUP(W118,Lookups!$Q$5:$Q$9,Lookups!$S$5:$S$9,"Clarify triage"),IFERROR(VLOOKUP(W118,Lookups!$Q$5:$S$9,3,FALSE),"Clarify triage"))</f>
        <v>Clarify use case, role, and decision impact; run triage workshop.</v>
      </c>
      <c r="Z118" s="4"/>
    </row>
    <row r="119" spans="1:26" ht="16" x14ac:dyDescent="0.2">
      <c r="A119" s="3" t="s">
        <v>229</v>
      </c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 t="str">
        <f ca="1">IF(OR(Q119="Yes",R119="Yes",S119="Yes"),"Prohibited",IF(OR(L119="Yes",M119="Yes",N119="Yes",O119="Yes",P119="Yes"),"High-risk",IFERROR(_xludf.XLOOKUP(E119,Lookups!$Q$14:$Q$23,Lookups!$R$14:$R$23,"Unknown"),IFERROR(VLOOKUP(E119,Lookups!$Q$14:$R$23,2,FALSE),"Unknown"))))</f>
        <v>Unknown</v>
      </c>
      <c r="X119" s="5" t="str">
        <f ca="1">IFERROR(_xludf.XLOOKUP(W119,Lookups!$Q$5:$Q$9,Lookups!$R$5:$R$9,"P2"),IFERROR(VLOOKUP(W119,Lookups!$Q$5:$R$9,2,FALSE),"P2"))</f>
        <v>P2</v>
      </c>
      <c r="Y119" s="5" t="str">
        <f ca="1">IFERROR(_xludf.XLOOKUP(W119,Lookups!$Q$5:$Q$9,Lookups!$S$5:$S$9,"Clarify triage"),IFERROR(VLOOKUP(W119,Lookups!$Q$5:$S$9,3,FALSE),"Clarify triage"))</f>
        <v>Clarify use case, role, and decision impact; run triage workshop.</v>
      </c>
      <c r="Z119" s="4"/>
    </row>
    <row r="120" spans="1:26" ht="16" x14ac:dyDescent="0.2">
      <c r="A120" s="3" t="s">
        <v>230</v>
      </c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 t="str">
        <f ca="1">IF(OR(Q120="Yes",R120="Yes",S120="Yes"),"Prohibited",IF(OR(L120="Yes",M120="Yes",N120="Yes",O120="Yes",P120="Yes"),"High-risk",IFERROR(_xludf.XLOOKUP(E120,Lookups!$Q$14:$Q$23,Lookups!$R$14:$R$23,"Unknown"),IFERROR(VLOOKUP(E120,Lookups!$Q$14:$R$23,2,FALSE),"Unknown"))))</f>
        <v>Unknown</v>
      </c>
      <c r="X120" s="5" t="str">
        <f ca="1">IFERROR(_xludf.XLOOKUP(W120,Lookups!$Q$5:$Q$9,Lookups!$R$5:$R$9,"P2"),IFERROR(VLOOKUP(W120,Lookups!$Q$5:$R$9,2,FALSE),"P2"))</f>
        <v>P2</v>
      </c>
      <c r="Y120" s="5" t="str">
        <f ca="1">IFERROR(_xludf.XLOOKUP(W120,Lookups!$Q$5:$Q$9,Lookups!$S$5:$S$9,"Clarify triage"),IFERROR(VLOOKUP(W120,Lookups!$Q$5:$S$9,3,FALSE),"Clarify triage"))</f>
        <v>Clarify use case, role, and decision impact; run triage workshop.</v>
      </c>
      <c r="Z120" s="4"/>
    </row>
    <row r="121" spans="1:26" ht="16" x14ac:dyDescent="0.2">
      <c r="A121" s="3" t="s">
        <v>231</v>
      </c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 t="str">
        <f ca="1">IF(OR(Q121="Yes",R121="Yes",S121="Yes"),"Prohibited",IF(OR(L121="Yes",M121="Yes",N121="Yes",O121="Yes",P121="Yes"),"High-risk",IFERROR(_xludf.XLOOKUP(E121,Lookups!$Q$14:$Q$23,Lookups!$R$14:$R$23,"Unknown"),IFERROR(VLOOKUP(E121,Lookups!$Q$14:$R$23,2,FALSE),"Unknown"))))</f>
        <v>Unknown</v>
      </c>
      <c r="X121" s="5" t="str">
        <f ca="1">IFERROR(_xludf.XLOOKUP(W121,Lookups!$Q$5:$Q$9,Lookups!$R$5:$R$9,"P2"),IFERROR(VLOOKUP(W121,Lookups!$Q$5:$R$9,2,FALSE),"P2"))</f>
        <v>P2</v>
      </c>
      <c r="Y121" s="5" t="str">
        <f ca="1">IFERROR(_xludf.XLOOKUP(W121,Lookups!$Q$5:$Q$9,Lookups!$S$5:$S$9,"Clarify triage"),IFERROR(VLOOKUP(W121,Lookups!$Q$5:$S$9,3,FALSE),"Clarify triage"))</f>
        <v>Clarify use case, role, and decision impact; run triage workshop.</v>
      </c>
      <c r="Z121" s="4"/>
    </row>
    <row r="122" spans="1:26" ht="16" x14ac:dyDescent="0.2">
      <c r="A122" s="3" t="s">
        <v>232</v>
      </c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 t="str">
        <f ca="1">IF(OR(Q122="Yes",R122="Yes",S122="Yes"),"Prohibited",IF(OR(L122="Yes",M122="Yes",N122="Yes",O122="Yes",P122="Yes"),"High-risk",IFERROR(_xludf.XLOOKUP(E122,Lookups!$Q$14:$Q$23,Lookups!$R$14:$R$23,"Unknown"),IFERROR(VLOOKUP(E122,Lookups!$Q$14:$R$23,2,FALSE),"Unknown"))))</f>
        <v>Unknown</v>
      </c>
      <c r="X122" s="5" t="str">
        <f ca="1">IFERROR(_xludf.XLOOKUP(W122,Lookups!$Q$5:$Q$9,Lookups!$R$5:$R$9,"P2"),IFERROR(VLOOKUP(W122,Lookups!$Q$5:$R$9,2,FALSE),"P2"))</f>
        <v>P2</v>
      </c>
      <c r="Y122" s="5" t="str">
        <f ca="1">IFERROR(_xludf.XLOOKUP(W122,Lookups!$Q$5:$Q$9,Lookups!$S$5:$S$9,"Clarify triage"),IFERROR(VLOOKUP(W122,Lookups!$Q$5:$S$9,3,FALSE),"Clarify triage"))</f>
        <v>Clarify use case, role, and decision impact; run triage workshop.</v>
      </c>
      <c r="Z122" s="4"/>
    </row>
    <row r="123" spans="1:26" ht="16" x14ac:dyDescent="0.2">
      <c r="A123" s="3" t="s">
        <v>233</v>
      </c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 t="str">
        <f ca="1">IF(OR(Q123="Yes",R123="Yes",S123="Yes"),"Prohibited",IF(OR(L123="Yes",M123="Yes",N123="Yes",O123="Yes",P123="Yes"),"High-risk",IFERROR(_xludf.XLOOKUP(E123,Lookups!$Q$14:$Q$23,Lookups!$R$14:$R$23,"Unknown"),IFERROR(VLOOKUP(E123,Lookups!$Q$14:$R$23,2,FALSE),"Unknown"))))</f>
        <v>Unknown</v>
      </c>
      <c r="X123" s="5" t="str">
        <f ca="1">IFERROR(_xludf.XLOOKUP(W123,Lookups!$Q$5:$Q$9,Lookups!$R$5:$R$9,"P2"),IFERROR(VLOOKUP(W123,Lookups!$Q$5:$R$9,2,FALSE),"P2"))</f>
        <v>P2</v>
      </c>
      <c r="Y123" s="5" t="str">
        <f ca="1">IFERROR(_xludf.XLOOKUP(W123,Lookups!$Q$5:$Q$9,Lookups!$S$5:$S$9,"Clarify triage"),IFERROR(VLOOKUP(W123,Lookups!$Q$5:$S$9,3,FALSE),"Clarify triage"))</f>
        <v>Clarify use case, role, and decision impact; run triage workshop.</v>
      </c>
      <c r="Z123" s="4"/>
    </row>
    <row r="124" spans="1:26" ht="16" x14ac:dyDescent="0.2">
      <c r="A124" s="3" t="s">
        <v>234</v>
      </c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 t="str">
        <f ca="1">IF(OR(Q124="Yes",R124="Yes",S124="Yes"),"Prohibited",IF(OR(L124="Yes",M124="Yes",N124="Yes",O124="Yes",P124="Yes"),"High-risk",IFERROR(_xludf.XLOOKUP(E124,Lookups!$Q$14:$Q$23,Lookups!$R$14:$R$23,"Unknown"),IFERROR(VLOOKUP(E124,Lookups!$Q$14:$R$23,2,FALSE),"Unknown"))))</f>
        <v>Unknown</v>
      </c>
      <c r="X124" s="5" t="str">
        <f ca="1">IFERROR(_xludf.XLOOKUP(W124,Lookups!$Q$5:$Q$9,Lookups!$R$5:$R$9,"P2"),IFERROR(VLOOKUP(W124,Lookups!$Q$5:$R$9,2,FALSE),"P2"))</f>
        <v>P2</v>
      </c>
      <c r="Y124" s="5" t="str">
        <f ca="1">IFERROR(_xludf.XLOOKUP(W124,Lookups!$Q$5:$Q$9,Lookups!$S$5:$S$9,"Clarify triage"),IFERROR(VLOOKUP(W124,Lookups!$Q$5:$S$9,3,FALSE),"Clarify triage"))</f>
        <v>Clarify use case, role, and decision impact; run triage workshop.</v>
      </c>
      <c r="Z124" s="4"/>
    </row>
    <row r="125" spans="1:26" ht="16" x14ac:dyDescent="0.2">
      <c r="A125" s="3" t="s">
        <v>235</v>
      </c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 t="str">
        <f ca="1">IF(OR(Q125="Yes",R125="Yes",S125="Yes"),"Prohibited",IF(OR(L125="Yes",M125="Yes",N125="Yes",O125="Yes",P125="Yes"),"High-risk",IFERROR(_xludf.XLOOKUP(E125,Lookups!$Q$14:$Q$23,Lookups!$R$14:$R$23,"Unknown"),IFERROR(VLOOKUP(E125,Lookups!$Q$14:$R$23,2,FALSE),"Unknown"))))</f>
        <v>Unknown</v>
      </c>
      <c r="X125" s="5" t="str">
        <f ca="1">IFERROR(_xludf.XLOOKUP(W125,Lookups!$Q$5:$Q$9,Lookups!$R$5:$R$9,"P2"),IFERROR(VLOOKUP(W125,Lookups!$Q$5:$R$9,2,FALSE),"P2"))</f>
        <v>P2</v>
      </c>
      <c r="Y125" s="5" t="str">
        <f ca="1">IFERROR(_xludf.XLOOKUP(W125,Lookups!$Q$5:$Q$9,Lookups!$S$5:$S$9,"Clarify triage"),IFERROR(VLOOKUP(W125,Lookups!$Q$5:$S$9,3,FALSE),"Clarify triage"))</f>
        <v>Clarify use case, role, and decision impact; run triage workshop.</v>
      </c>
      <c r="Z125" s="4"/>
    </row>
    <row r="126" spans="1:26" ht="16" x14ac:dyDescent="0.2">
      <c r="A126" s="3" t="s">
        <v>236</v>
      </c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 t="str">
        <f ca="1">IF(OR(Q126="Yes",R126="Yes",S126="Yes"),"Prohibited",IF(OR(L126="Yes",M126="Yes",N126="Yes",O126="Yes",P126="Yes"),"High-risk",IFERROR(_xludf.XLOOKUP(E126,Lookups!$Q$14:$Q$23,Lookups!$R$14:$R$23,"Unknown"),IFERROR(VLOOKUP(E126,Lookups!$Q$14:$R$23,2,FALSE),"Unknown"))))</f>
        <v>Unknown</v>
      </c>
      <c r="X126" s="5" t="str">
        <f ca="1">IFERROR(_xludf.XLOOKUP(W126,Lookups!$Q$5:$Q$9,Lookups!$R$5:$R$9,"P2"),IFERROR(VLOOKUP(W126,Lookups!$Q$5:$R$9,2,FALSE),"P2"))</f>
        <v>P2</v>
      </c>
      <c r="Y126" s="5" t="str">
        <f ca="1">IFERROR(_xludf.XLOOKUP(W126,Lookups!$Q$5:$Q$9,Lookups!$S$5:$S$9,"Clarify triage"),IFERROR(VLOOKUP(W126,Lookups!$Q$5:$S$9,3,FALSE),"Clarify triage"))</f>
        <v>Clarify use case, role, and decision impact; run triage workshop.</v>
      </c>
      <c r="Z126" s="4"/>
    </row>
    <row r="127" spans="1:26" ht="16" x14ac:dyDescent="0.2">
      <c r="A127" s="3" t="s">
        <v>237</v>
      </c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 t="str">
        <f ca="1">IF(OR(Q127="Yes",R127="Yes",S127="Yes"),"Prohibited",IF(OR(L127="Yes",M127="Yes",N127="Yes",O127="Yes",P127="Yes"),"High-risk",IFERROR(_xludf.XLOOKUP(E127,Lookups!$Q$14:$Q$23,Lookups!$R$14:$R$23,"Unknown"),IFERROR(VLOOKUP(E127,Lookups!$Q$14:$R$23,2,FALSE),"Unknown"))))</f>
        <v>Unknown</v>
      </c>
      <c r="X127" s="5" t="str">
        <f ca="1">IFERROR(_xludf.XLOOKUP(W127,Lookups!$Q$5:$Q$9,Lookups!$R$5:$R$9,"P2"),IFERROR(VLOOKUP(W127,Lookups!$Q$5:$R$9,2,FALSE),"P2"))</f>
        <v>P2</v>
      </c>
      <c r="Y127" s="5" t="str">
        <f ca="1">IFERROR(_xludf.XLOOKUP(W127,Lookups!$Q$5:$Q$9,Lookups!$S$5:$S$9,"Clarify triage"),IFERROR(VLOOKUP(W127,Lookups!$Q$5:$S$9,3,FALSE),"Clarify triage"))</f>
        <v>Clarify use case, role, and decision impact; run triage workshop.</v>
      </c>
      <c r="Z127" s="4"/>
    </row>
    <row r="128" spans="1:26" ht="16" x14ac:dyDescent="0.2">
      <c r="A128" s="3" t="s">
        <v>238</v>
      </c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 t="str">
        <f ca="1">IF(OR(Q128="Yes",R128="Yes",S128="Yes"),"Prohibited",IF(OR(L128="Yes",M128="Yes",N128="Yes",O128="Yes",P128="Yes"),"High-risk",IFERROR(_xludf.XLOOKUP(E128,Lookups!$Q$14:$Q$23,Lookups!$R$14:$R$23,"Unknown"),IFERROR(VLOOKUP(E128,Lookups!$Q$14:$R$23,2,FALSE),"Unknown"))))</f>
        <v>Unknown</v>
      </c>
      <c r="X128" s="5" t="str">
        <f ca="1">IFERROR(_xludf.XLOOKUP(W128,Lookups!$Q$5:$Q$9,Lookups!$R$5:$R$9,"P2"),IFERROR(VLOOKUP(W128,Lookups!$Q$5:$R$9,2,FALSE),"P2"))</f>
        <v>P2</v>
      </c>
      <c r="Y128" s="5" t="str">
        <f ca="1">IFERROR(_xludf.XLOOKUP(W128,Lookups!$Q$5:$Q$9,Lookups!$S$5:$S$9,"Clarify triage"),IFERROR(VLOOKUP(W128,Lookups!$Q$5:$S$9,3,FALSE),"Clarify triage"))</f>
        <v>Clarify use case, role, and decision impact; run triage workshop.</v>
      </c>
      <c r="Z128" s="4"/>
    </row>
    <row r="129" spans="1:26" ht="16" x14ac:dyDescent="0.2">
      <c r="A129" s="3" t="s">
        <v>239</v>
      </c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 t="str">
        <f ca="1">IF(OR(Q129="Yes",R129="Yes",S129="Yes"),"Prohibited",IF(OR(L129="Yes",M129="Yes",N129="Yes",O129="Yes",P129="Yes"),"High-risk",IFERROR(_xludf.XLOOKUP(E129,Lookups!$Q$14:$Q$23,Lookups!$R$14:$R$23,"Unknown"),IFERROR(VLOOKUP(E129,Lookups!$Q$14:$R$23,2,FALSE),"Unknown"))))</f>
        <v>Unknown</v>
      </c>
      <c r="X129" s="5" t="str">
        <f ca="1">IFERROR(_xludf.XLOOKUP(W129,Lookups!$Q$5:$Q$9,Lookups!$R$5:$R$9,"P2"),IFERROR(VLOOKUP(W129,Lookups!$Q$5:$R$9,2,FALSE),"P2"))</f>
        <v>P2</v>
      </c>
      <c r="Y129" s="5" t="str">
        <f ca="1">IFERROR(_xludf.XLOOKUP(W129,Lookups!$Q$5:$Q$9,Lookups!$S$5:$S$9,"Clarify triage"),IFERROR(VLOOKUP(W129,Lookups!$Q$5:$S$9,3,FALSE),"Clarify triage"))</f>
        <v>Clarify use case, role, and decision impact; run triage workshop.</v>
      </c>
      <c r="Z129" s="4"/>
    </row>
    <row r="130" spans="1:26" ht="16" x14ac:dyDescent="0.2">
      <c r="A130" s="3" t="s">
        <v>240</v>
      </c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 t="str">
        <f ca="1">IF(OR(Q130="Yes",R130="Yes",S130="Yes"),"Prohibited",IF(OR(L130="Yes",M130="Yes",N130="Yes",O130="Yes",P130="Yes"),"High-risk",IFERROR(_xludf.XLOOKUP(E130,Lookups!$Q$14:$Q$23,Lookups!$R$14:$R$23,"Unknown"),IFERROR(VLOOKUP(E130,Lookups!$Q$14:$R$23,2,FALSE),"Unknown"))))</f>
        <v>Unknown</v>
      </c>
      <c r="X130" s="5" t="str">
        <f ca="1">IFERROR(_xludf.XLOOKUP(W130,Lookups!$Q$5:$Q$9,Lookups!$R$5:$R$9,"P2"),IFERROR(VLOOKUP(W130,Lookups!$Q$5:$R$9,2,FALSE),"P2"))</f>
        <v>P2</v>
      </c>
      <c r="Y130" s="5" t="str">
        <f ca="1">IFERROR(_xludf.XLOOKUP(W130,Lookups!$Q$5:$Q$9,Lookups!$S$5:$S$9,"Clarify triage"),IFERROR(VLOOKUP(W130,Lookups!$Q$5:$S$9,3,FALSE),"Clarify triage"))</f>
        <v>Clarify use case, role, and decision impact; run triage workshop.</v>
      </c>
      <c r="Z130" s="4"/>
    </row>
    <row r="131" spans="1:26" ht="16" x14ac:dyDescent="0.2">
      <c r="A131" s="3" t="s">
        <v>241</v>
      </c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 t="str">
        <f ca="1">IF(OR(Q131="Yes",R131="Yes",S131="Yes"),"Prohibited",IF(OR(L131="Yes",M131="Yes",N131="Yes",O131="Yes",P131="Yes"),"High-risk",IFERROR(_xludf.XLOOKUP(E131,Lookups!$Q$14:$Q$23,Lookups!$R$14:$R$23,"Unknown"),IFERROR(VLOOKUP(E131,Lookups!$Q$14:$R$23,2,FALSE),"Unknown"))))</f>
        <v>Unknown</v>
      </c>
      <c r="X131" s="5" t="str">
        <f ca="1">IFERROR(_xludf.XLOOKUP(W131,Lookups!$Q$5:$Q$9,Lookups!$R$5:$R$9,"P2"),IFERROR(VLOOKUP(W131,Lookups!$Q$5:$R$9,2,FALSE),"P2"))</f>
        <v>P2</v>
      </c>
      <c r="Y131" s="5" t="str">
        <f ca="1">IFERROR(_xludf.XLOOKUP(W131,Lookups!$Q$5:$Q$9,Lookups!$S$5:$S$9,"Clarify triage"),IFERROR(VLOOKUP(W131,Lookups!$Q$5:$S$9,3,FALSE),"Clarify triage"))</f>
        <v>Clarify use case, role, and decision impact; run triage workshop.</v>
      </c>
      <c r="Z131" s="4"/>
    </row>
    <row r="132" spans="1:26" ht="16" x14ac:dyDescent="0.2">
      <c r="A132" s="3" t="s">
        <v>242</v>
      </c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 t="str">
        <f ca="1">IF(OR(Q132="Yes",R132="Yes",S132="Yes"),"Prohibited",IF(OR(L132="Yes",M132="Yes",N132="Yes",O132="Yes",P132="Yes"),"High-risk",IFERROR(_xludf.XLOOKUP(E132,Lookups!$Q$14:$Q$23,Lookups!$R$14:$R$23,"Unknown"),IFERROR(VLOOKUP(E132,Lookups!$Q$14:$R$23,2,FALSE),"Unknown"))))</f>
        <v>Unknown</v>
      </c>
      <c r="X132" s="5" t="str">
        <f ca="1">IFERROR(_xludf.XLOOKUP(W132,Lookups!$Q$5:$Q$9,Lookups!$R$5:$R$9,"P2"),IFERROR(VLOOKUP(W132,Lookups!$Q$5:$R$9,2,FALSE),"P2"))</f>
        <v>P2</v>
      </c>
      <c r="Y132" s="5" t="str">
        <f ca="1">IFERROR(_xludf.XLOOKUP(W132,Lookups!$Q$5:$Q$9,Lookups!$S$5:$S$9,"Clarify triage"),IFERROR(VLOOKUP(W132,Lookups!$Q$5:$S$9,3,FALSE),"Clarify triage"))</f>
        <v>Clarify use case, role, and decision impact; run triage workshop.</v>
      </c>
      <c r="Z132" s="4"/>
    </row>
    <row r="133" spans="1:26" ht="16" x14ac:dyDescent="0.2">
      <c r="A133" s="3" t="s">
        <v>243</v>
      </c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 t="str">
        <f ca="1">IF(OR(Q133="Yes",R133="Yes",S133="Yes"),"Prohibited",IF(OR(L133="Yes",M133="Yes",N133="Yes",O133="Yes",P133="Yes"),"High-risk",IFERROR(_xludf.XLOOKUP(E133,Lookups!$Q$14:$Q$23,Lookups!$R$14:$R$23,"Unknown"),IFERROR(VLOOKUP(E133,Lookups!$Q$14:$R$23,2,FALSE),"Unknown"))))</f>
        <v>Unknown</v>
      </c>
      <c r="X133" s="5" t="str">
        <f ca="1">IFERROR(_xludf.XLOOKUP(W133,Lookups!$Q$5:$Q$9,Lookups!$R$5:$R$9,"P2"),IFERROR(VLOOKUP(W133,Lookups!$Q$5:$R$9,2,FALSE),"P2"))</f>
        <v>P2</v>
      </c>
      <c r="Y133" s="5" t="str">
        <f ca="1">IFERROR(_xludf.XLOOKUP(W133,Lookups!$Q$5:$Q$9,Lookups!$S$5:$S$9,"Clarify triage"),IFERROR(VLOOKUP(W133,Lookups!$Q$5:$S$9,3,FALSE),"Clarify triage"))</f>
        <v>Clarify use case, role, and decision impact; run triage workshop.</v>
      </c>
      <c r="Z133" s="4"/>
    </row>
    <row r="134" spans="1:26" ht="16" x14ac:dyDescent="0.2">
      <c r="A134" s="3" t="s">
        <v>244</v>
      </c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 t="str">
        <f ca="1">IF(OR(Q134="Yes",R134="Yes",S134="Yes"),"Prohibited",IF(OR(L134="Yes",M134="Yes",N134="Yes",O134="Yes",P134="Yes"),"High-risk",IFERROR(_xludf.XLOOKUP(E134,Lookups!$Q$14:$Q$23,Lookups!$R$14:$R$23,"Unknown"),IFERROR(VLOOKUP(E134,Lookups!$Q$14:$R$23,2,FALSE),"Unknown"))))</f>
        <v>Unknown</v>
      </c>
      <c r="X134" s="5" t="str">
        <f ca="1">IFERROR(_xludf.XLOOKUP(W134,Lookups!$Q$5:$Q$9,Lookups!$R$5:$R$9,"P2"),IFERROR(VLOOKUP(W134,Lookups!$Q$5:$R$9,2,FALSE),"P2"))</f>
        <v>P2</v>
      </c>
      <c r="Y134" s="5" t="str">
        <f ca="1">IFERROR(_xludf.XLOOKUP(W134,Lookups!$Q$5:$Q$9,Lookups!$S$5:$S$9,"Clarify triage"),IFERROR(VLOOKUP(W134,Lookups!$Q$5:$S$9,3,FALSE),"Clarify triage"))</f>
        <v>Clarify use case, role, and decision impact; run triage workshop.</v>
      </c>
      <c r="Z134" s="4"/>
    </row>
    <row r="135" spans="1:26" ht="16" x14ac:dyDescent="0.2">
      <c r="A135" s="3" t="s">
        <v>245</v>
      </c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 t="str">
        <f ca="1">IF(OR(Q135="Yes",R135="Yes",S135="Yes"),"Prohibited",IF(OR(L135="Yes",M135="Yes",N135="Yes",O135="Yes",P135="Yes"),"High-risk",IFERROR(_xludf.XLOOKUP(E135,Lookups!$Q$14:$Q$23,Lookups!$R$14:$R$23,"Unknown"),IFERROR(VLOOKUP(E135,Lookups!$Q$14:$R$23,2,FALSE),"Unknown"))))</f>
        <v>Unknown</v>
      </c>
      <c r="X135" s="5" t="str">
        <f ca="1">IFERROR(_xludf.XLOOKUP(W135,Lookups!$Q$5:$Q$9,Lookups!$R$5:$R$9,"P2"),IFERROR(VLOOKUP(W135,Lookups!$Q$5:$R$9,2,FALSE),"P2"))</f>
        <v>P2</v>
      </c>
      <c r="Y135" s="5" t="str">
        <f ca="1">IFERROR(_xludf.XLOOKUP(W135,Lookups!$Q$5:$Q$9,Lookups!$S$5:$S$9,"Clarify triage"),IFERROR(VLOOKUP(W135,Lookups!$Q$5:$S$9,3,FALSE),"Clarify triage"))</f>
        <v>Clarify use case, role, and decision impact; run triage workshop.</v>
      </c>
      <c r="Z135" s="4"/>
    </row>
    <row r="136" spans="1:26" ht="16" x14ac:dyDescent="0.2">
      <c r="A136" s="3" t="s">
        <v>246</v>
      </c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 t="str">
        <f ca="1">IF(OR(Q136="Yes",R136="Yes",S136="Yes"),"Prohibited",IF(OR(L136="Yes",M136="Yes",N136="Yes",O136="Yes",P136="Yes"),"High-risk",IFERROR(_xludf.XLOOKUP(E136,Lookups!$Q$14:$Q$23,Lookups!$R$14:$R$23,"Unknown"),IFERROR(VLOOKUP(E136,Lookups!$Q$14:$R$23,2,FALSE),"Unknown"))))</f>
        <v>Unknown</v>
      </c>
      <c r="X136" s="5" t="str">
        <f ca="1">IFERROR(_xludf.XLOOKUP(W136,Lookups!$Q$5:$Q$9,Lookups!$R$5:$R$9,"P2"),IFERROR(VLOOKUP(W136,Lookups!$Q$5:$R$9,2,FALSE),"P2"))</f>
        <v>P2</v>
      </c>
      <c r="Y136" s="5" t="str">
        <f ca="1">IFERROR(_xludf.XLOOKUP(W136,Lookups!$Q$5:$Q$9,Lookups!$S$5:$S$9,"Clarify triage"),IFERROR(VLOOKUP(W136,Lookups!$Q$5:$S$9,3,FALSE),"Clarify triage"))</f>
        <v>Clarify use case, role, and decision impact; run triage workshop.</v>
      </c>
      <c r="Z136" s="4"/>
    </row>
    <row r="137" spans="1:26" ht="16" x14ac:dyDescent="0.2">
      <c r="A137" s="3" t="s">
        <v>247</v>
      </c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 t="str">
        <f ca="1">IF(OR(Q137="Yes",R137="Yes",S137="Yes"),"Prohibited",IF(OR(L137="Yes",M137="Yes",N137="Yes",O137="Yes",P137="Yes"),"High-risk",IFERROR(_xludf.XLOOKUP(E137,Lookups!$Q$14:$Q$23,Lookups!$R$14:$R$23,"Unknown"),IFERROR(VLOOKUP(E137,Lookups!$Q$14:$R$23,2,FALSE),"Unknown"))))</f>
        <v>Unknown</v>
      </c>
      <c r="X137" s="5" t="str">
        <f ca="1">IFERROR(_xludf.XLOOKUP(W137,Lookups!$Q$5:$Q$9,Lookups!$R$5:$R$9,"P2"),IFERROR(VLOOKUP(W137,Lookups!$Q$5:$R$9,2,FALSE),"P2"))</f>
        <v>P2</v>
      </c>
      <c r="Y137" s="5" t="str">
        <f ca="1">IFERROR(_xludf.XLOOKUP(W137,Lookups!$Q$5:$Q$9,Lookups!$S$5:$S$9,"Clarify triage"),IFERROR(VLOOKUP(W137,Lookups!$Q$5:$S$9,3,FALSE),"Clarify triage"))</f>
        <v>Clarify use case, role, and decision impact; run triage workshop.</v>
      </c>
      <c r="Z137" s="4"/>
    </row>
    <row r="138" spans="1:26" ht="16" x14ac:dyDescent="0.2">
      <c r="A138" s="3" t="s">
        <v>248</v>
      </c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 t="str">
        <f ca="1">IF(OR(Q138="Yes",R138="Yes",S138="Yes"),"Prohibited",IF(OR(L138="Yes",M138="Yes",N138="Yes",O138="Yes",P138="Yes"),"High-risk",IFERROR(_xludf.XLOOKUP(E138,Lookups!$Q$14:$Q$23,Lookups!$R$14:$R$23,"Unknown"),IFERROR(VLOOKUP(E138,Lookups!$Q$14:$R$23,2,FALSE),"Unknown"))))</f>
        <v>Unknown</v>
      </c>
      <c r="X138" s="5" t="str">
        <f ca="1">IFERROR(_xludf.XLOOKUP(W138,Lookups!$Q$5:$Q$9,Lookups!$R$5:$R$9,"P2"),IFERROR(VLOOKUP(W138,Lookups!$Q$5:$R$9,2,FALSE),"P2"))</f>
        <v>P2</v>
      </c>
      <c r="Y138" s="5" t="str">
        <f ca="1">IFERROR(_xludf.XLOOKUP(W138,Lookups!$Q$5:$Q$9,Lookups!$S$5:$S$9,"Clarify triage"),IFERROR(VLOOKUP(W138,Lookups!$Q$5:$S$9,3,FALSE),"Clarify triage"))</f>
        <v>Clarify use case, role, and decision impact; run triage workshop.</v>
      </c>
      <c r="Z138" s="4"/>
    </row>
    <row r="139" spans="1:26" ht="16" x14ac:dyDescent="0.2">
      <c r="A139" s="3" t="s">
        <v>249</v>
      </c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 t="str">
        <f ca="1">IF(OR(Q139="Yes",R139="Yes",S139="Yes"),"Prohibited",IF(OR(L139="Yes",M139="Yes",N139="Yes",O139="Yes",P139="Yes"),"High-risk",IFERROR(_xludf.XLOOKUP(E139,Lookups!$Q$14:$Q$23,Lookups!$R$14:$R$23,"Unknown"),IFERROR(VLOOKUP(E139,Lookups!$Q$14:$R$23,2,FALSE),"Unknown"))))</f>
        <v>Unknown</v>
      </c>
      <c r="X139" s="5" t="str">
        <f ca="1">IFERROR(_xludf.XLOOKUP(W139,Lookups!$Q$5:$Q$9,Lookups!$R$5:$R$9,"P2"),IFERROR(VLOOKUP(W139,Lookups!$Q$5:$R$9,2,FALSE),"P2"))</f>
        <v>P2</v>
      </c>
      <c r="Y139" s="5" t="str">
        <f ca="1">IFERROR(_xludf.XLOOKUP(W139,Lookups!$Q$5:$Q$9,Lookups!$S$5:$S$9,"Clarify triage"),IFERROR(VLOOKUP(W139,Lookups!$Q$5:$S$9,3,FALSE),"Clarify triage"))</f>
        <v>Clarify use case, role, and decision impact; run triage workshop.</v>
      </c>
      <c r="Z139" s="4"/>
    </row>
    <row r="140" spans="1:26" ht="16" x14ac:dyDescent="0.2">
      <c r="A140" s="3" t="s">
        <v>250</v>
      </c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 t="str">
        <f ca="1">IF(OR(Q140="Yes",R140="Yes",S140="Yes"),"Prohibited",IF(OR(L140="Yes",M140="Yes",N140="Yes",O140="Yes",P140="Yes"),"High-risk",IFERROR(_xludf.XLOOKUP(E140,Lookups!$Q$14:$Q$23,Lookups!$R$14:$R$23,"Unknown"),IFERROR(VLOOKUP(E140,Lookups!$Q$14:$R$23,2,FALSE),"Unknown"))))</f>
        <v>Unknown</v>
      </c>
      <c r="X140" s="5" t="str">
        <f ca="1">IFERROR(_xludf.XLOOKUP(W140,Lookups!$Q$5:$Q$9,Lookups!$R$5:$R$9,"P2"),IFERROR(VLOOKUP(W140,Lookups!$Q$5:$R$9,2,FALSE),"P2"))</f>
        <v>P2</v>
      </c>
      <c r="Y140" s="5" t="str">
        <f ca="1">IFERROR(_xludf.XLOOKUP(W140,Lookups!$Q$5:$Q$9,Lookups!$S$5:$S$9,"Clarify triage"),IFERROR(VLOOKUP(W140,Lookups!$Q$5:$S$9,3,FALSE),"Clarify triage"))</f>
        <v>Clarify use case, role, and decision impact; run triage workshop.</v>
      </c>
      <c r="Z140" s="4"/>
    </row>
    <row r="141" spans="1:26" ht="16" x14ac:dyDescent="0.2">
      <c r="A141" s="3" t="s">
        <v>251</v>
      </c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 t="str">
        <f ca="1">IF(OR(Q141="Yes",R141="Yes",S141="Yes"),"Prohibited",IF(OR(L141="Yes",M141="Yes",N141="Yes",O141="Yes",P141="Yes"),"High-risk",IFERROR(_xludf.XLOOKUP(E141,Lookups!$Q$14:$Q$23,Lookups!$R$14:$R$23,"Unknown"),IFERROR(VLOOKUP(E141,Lookups!$Q$14:$R$23,2,FALSE),"Unknown"))))</f>
        <v>Unknown</v>
      </c>
      <c r="X141" s="5" t="str">
        <f ca="1">IFERROR(_xludf.XLOOKUP(W141,Lookups!$Q$5:$Q$9,Lookups!$R$5:$R$9,"P2"),IFERROR(VLOOKUP(W141,Lookups!$Q$5:$R$9,2,FALSE),"P2"))</f>
        <v>P2</v>
      </c>
      <c r="Y141" s="5" t="str">
        <f ca="1">IFERROR(_xludf.XLOOKUP(W141,Lookups!$Q$5:$Q$9,Lookups!$S$5:$S$9,"Clarify triage"),IFERROR(VLOOKUP(W141,Lookups!$Q$5:$S$9,3,FALSE),"Clarify triage"))</f>
        <v>Clarify use case, role, and decision impact; run triage workshop.</v>
      </c>
      <c r="Z141" s="4"/>
    </row>
    <row r="142" spans="1:26" ht="16" x14ac:dyDescent="0.2">
      <c r="A142" s="3" t="s">
        <v>252</v>
      </c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 t="str">
        <f ca="1">IF(OR(Q142="Yes",R142="Yes",S142="Yes"),"Prohibited",IF(OR(L142="Yes",M142="Yes",N142="Yes",O142="Yes",P142="Yes"),"High-risk",IFERROR(_xludf.XLOOKUP(E142,Lookups!$Q$14:$Q$23,Lookups!$R$14:$R$23,"Unknown"),IFERROR(VLOOKUP(E142,Lookups!$Q$14:$R$23,2,FALSE),"Unknown"))))</f>
        <v>Unknown</v>
      </c>
      <c r="X142" s="5" t="str">
        <f ca="1">IFERROR(_xludf.XLOOKUP(W142,Lookups!$Q$5:$Q$9,Lookups!$R$5:$R$9,"P2"),IFERROR(VLOOKUP(W142,Lookups!$Q$5:$R$9,2,FALSE),"P2"))</f>
        <v>P2</v>
      </c>
      <c r="Y142" s="5" t="str">
        <f ca="1">IFERROR(_xludf.XLOOKUP(W142,Lookups!$Q$5:$Q$9,Lookups!$S$5:$S$9,"Clarify triage"),IFERROR(VLOOKUP(W142,Lookups!$Q$5:$S$9,3,FALSE),"Clarify triage"))</f>
        <v>Clarify use case, role, and decision impact; run triage workshop.</v>
      </c>
      <c r="Z142" s="4"/>
    </row>
    <row r="143" spans="1:26" ht="16" x14ac:dyDescent="0.2">
      <c r="A143" s="3" t="s">
        <v>253</v>
      </c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5" t="str">
        <f ca="1">IF(OR(Q143="Yes",R143="Yes",S143="Yes"),"Prohibited",IF(OR(L143="Yes",M143="Yes",N143="Yes",O143="Yes",P143="Yes"),"High-risk",IFERROR(_xludf.XLOOKUP(E143,Lookups!$Q$14:$Q$23,Lookups!$R$14:$R$23,"Unknown"),IFERROR(VLOOKUP(E143,Lookups!$Q$14:$R$23,2,FALSE),"Unknown"))))</f>
        <v>Unknown</v>
      </c>
      <c r="X143" s="5" t="str">
        <f ca="1">IFERROR(_xludf.XLOOKUP(W143,Lookups!$Q$5:$Q$9,Lookups!$R$5:$R$9,"P2"),IFERROR(VLOOKUP(W143,Lookups!$Q$5:$R$9,2,FALSE),"P2"))</f>
        <v>P2</v>
      </c>
      <c r="Y143" s="5" t="str">
        <f ca="1">IFERROR(_xludf.XLOOKUP(W143,Lookups!$Q$5:$Q$9,Lookups!$S$5:$S$9,"Clarify triage"),IFERROR(VLOOKUP(W143,Lookups!$Q$5:$S$9,3,FALSE),"Clarify triage"))</f>
        <v>Clarify use case, role, and decision impact; run triage workshop.</v>
      </c>
      <c r="Z143" s="4"/>
    </row>
    <row r="144" spans="1:26" ht="16" x14ac:dyDescent="0.2">
      <c r="A144" s="3" t="s">
        <v>254</v>
      </c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 t="str">
        <f ca="1">IF(OR(Q144="Yes",R144="Yes",S144="Yes"),"Prohibited",IF(OR(L144="Yes",M144="Yes",N144="Yes",O144="Yes",P144="Yes"),"High-risk",IFERROR(_xludf.XLOOKUP(E144,Lookups!$Q$14:$Q$23,Lookups!$R$14:$R$23,"Unknown"),IFERROR(VLOOKUP(E144,Lookups!$Q$14:$R$23,2,FALSE),"Unknown"))))</f>
        <v>Unknown</v>
      </c>
      <c r="X144" s="5" t="str">
        <f ca="1">IFERROR(_xludf.XLOOKUP(W144,Lookups!$Q$5:$Q$9,Lookups!$R$5:$R$9,"P2"),IFERROR(VLOOKUP(W144,Lookups!$Q$5:$R$9,2,FALSE),"P2"))</f>
        <v>P2</v>
      </c>
      <c r="Y144" s="5" t="str">
        <f ca="1">IFERROR(_xludf.XLOOKUP(W144,Lookups!$Q$5:$Q$9,Lookups!$S$5:$S$9,"Clarify triage"),IFERROR(VLOOKUP(W144,Lookups!$Q$5:$S$9,3,FALSE),"Clarify triage"))</f>
        <v>Clarify use case, role, and decision impact; run triage workshop.</v>
      </c>
      <c r="Z144" s="4"/>
    </row>
    <row r="145" spans="1:26" ht="16" x14ac:dyDescent="0.2">
      <c r="A145" s="3" t="s">
        <v>255</v>
      </c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 t="str">
        <f ca="1">IF(OR(Q145="Yes",R145="Yes",S145="Yes"),"Prohibited",IF(OR(L145="Yes",M145="Yes",N145="Yes",O145="Yes",P145="Yes"),"High-risk",IFERROR(_xludf.XLOOKUP(E145,Lookups!$Q$14:$Q$23,Lookups!$R$14:$R$23,"Unknown"),IFERROR(VLOOKUP(E145,Lookups!$Q$14:$R$23,2,FALSE),"Unknown"))))</f>
        <v>Unknown</v>
      </c>
      <c r="X145" s="5" t="str">
        <f ca="1">IFERROR(_xludf.XLOOKUP(W145,Lookups!$Q$5:$Q$9,Lookups!$R$5:$R$9,"P2"),IFERROR(VLOOKUP(W145,Lookups!$Q$5:$R$9,2,FALSE),"P2"))</f>
        <v>P2</v>
      </c>
      <c r="Y145" s="5" t="str">
        <f ca="1">IFERROR(_xludf.XLOOKUP(W145,Lookups!$Q$5:$Q$9,Lookups!$S$5:$S$9,"Clarify triage"),IFERROR(VLOOKUP(W145,Lookups!$Q$5:$S$9,3,FALSE),"Clarify triage"))</f>
        <v>Clarify use case, role, and decision impact; run triage workshop.</v>
      </c>
      <c r="Z145" s="4"/>
    </row>
    <row r="146" spans="1:26" ht="16" x14ac:dyDescent="0.2">
      <c r="A146" s="3" t="s">
        <v>256</v>
      </c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 t="str">
        <f ca="1">IF(OR(Q146="Yes",R146="Yes",S146="Yes"),"Prohibited",IF(OR(L146="Yes",M146="Yes",N146="Yes",O146="Yes",P146="Yes"),"High-risk",IFERROR(_xludf.XLOOKUP(E146,Lookups!$Q$14:$Q$23,Lookups!$R$14:$R$23,"Unknown"),IFERROR(VLOOKUP(E146,Lookups!$Q$14:$R$23,2,FALSE),"Unknown"))))</f>
        <v>Unknown</v>
      </c>
      <c r="X146" s="5" t="str">
        <f ca="1">IFERROR(_xludf.XLOOKUP(W146,Lookups!$Q$5:$Q$9,Lookups!$R$5:$R$9,"P2"),IFERROR(VLOOKUP(W146,Lookups!$Q$5:$R$9,2,FALSE),"P2"))</f>
        <v>P2</v>
      </c>
      <c r="Y146" s="5" t="str">
        <f ca="1">IFERROR(_xludf.XLOOKUP(W146,Lookups!$Q$5:$Q$9,Lookups!$S$5:$S$9,"Clarify triage"),IFERROR(VLOOKUP(W146,Lookups!$Q$5:$S$9,3,FALSE),"Clarify triage"))</f>
        <v>Clarify use case, role, and decision impact; run triage workshop.</v>
      </c>
      <c r="Z146" s="4"/>
    </row>
    <row r="147" spans="1:26" ht="16" x14ac:dyDescent="0.2">
      <c r="A147" s="3" t="s">
        <v>257</v>
      </c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 t="str">
        <f ca="1">IF(OR(Q147="Yes",R147="Yes",S147="Yes"),"Prohibited",IF(OR(L147="Yes",M147="Yes",N147="Yes",O147="Yes",P147="Yes"),"High-risk",IFERROR(_xludf.XLOOKUP(E147,Lookups!$Q$14:$Q$23,Lookups!$R$14:$R$23,"Unknown"),IFERROR(VLOOKUP(E147,Lookups!$Q$14:$R$23,2,FALSE),"Unknown"))))</f>
        <v>Unknown</v>
      </c>
      <c r="X147" s="5" t="str">
        <f ca="1">IFERROR(_xludf.XLOOKUP(W147,Lookups!$Q$5:$Q$9,Lookups!$R$5:$R$9,"P2"),IFERROR(VLOOKUP(W147,Lookups!$Q$5:$R$9,2,FALSE),"P2"))</f>
        <v>P2</v>
      </c>
      <c r="Y147" s="5" t="str">
        <f ca="1">IFERROR(_xludf.XLOOKUP(W147,Lookups!$Q$5:$Q$9,Lookups!$S$5:$S$9,"Clarify triage"),IFERROR(VLOOKUP(W147,Lookups!$Q$5:$S$9,3,FALSE),"Clarify triage"))</f>
        <v>Clarify use case, role, and decision impact; run triage workshop.</v>
      </c>
      <c r="Z147" s="4"/>
    </row>
    <row r="148" spans="1:26" ht="16" x14ac:dyDescent="0.2">
      <c r="A148" s="3" t="s">
        <v>258</v>
      </c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 t="str">
        <f ca="1">IF(OR(Q148="Yes",R148="Yes",S148="Yes"),"Prohibited",IF(OR(L148="Yes",M148="Yes",N148="Yes",O148="Yes",P148="Yes"),"High-risk",IFERROR(_xludf.XLOOKUP(E148,Lookups!$Q$14:$Q$23,Lookups!$R$14:$R$23,"Unknown"),IFERROR(VLOOKUP(E148,Lookups!$Q$14:$R$23,2,FALSE),"Unknown"))))</f>
        <v>Unknown</v>
      </c>
      <c r="X148" s="5" t="str">
        <f ca="1">IFERROR(_xludf.XLOOKUP(W148,Lookups!$Q$5:$Q$9,Lookups!$R$5:$R$9,"P2"),IFERROR(VLOOKUP(W148,Lookups!$Q$5:$R$9,2,FALSE),"P2"))</f>
        <v>P2</v>
      </c>
      <c r="Y148" s="5" t="str">
        <f ca="1">IFERROR(_xludf.XLOOKUP(W148,Lookups!$Q$5:$Q$9,Lookups!$S$5:$S$9,"Clarify triage"),IFERROR(VLOOKUP(W148,Lookups!$Q$5:$S$9,3,FALSE),"Clarify triage"))</f>
        <v>Clarify use case, role, and decision impact; run triage workshop.</v>
      </c>
      <c r="Z148" s="4"/>
    </row>
    <row r="149" spans="1:26" ht="16" x14ac:dyDescent="0.2">
      <c r="A149" s="3" t="s">
        <v>259</v>
      </c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 t="str">
        <f ca="1">IF(OR(Q149="Yes",R149="Yes",S149="Yes"),"Prohibited",IF(OR(L149="Yes",M149="Yes",N149="Yes",O149="Yes",P149="Yes"),"High-risk",IFERROR(_xludf.XLOOKUP(E149,Lookups!$Q$14:$Q$23,Lookups!$R$14:$R$23,"Unknown"),IFERROR(VLOOKUP(E149,Lookups!$Q$14:$R$23,2,FALSE),"Unknown"))))</f>
        <v>Unknown</v>
      </c>
      <c r="X149" s="5" t="str">
        <f ca="1">IFERROR(_xludf.XLOOKUP(W149,Lookups!$Q$5:$Q$9,Lookups!$R$5:$R$9,"P2"),IFERROR(VLOOKUP(W149,Lookups!$Q$5:$R$9,2,FALSE),"P2"))</f>
        <v>P2</v>
      </c>
      <c r="Y149" s="5" t="str">
        <f ca="1">IFERROR(_xludf.XLOOKUP(W149,Lookups!$Q$5:$Q$9,Lookups!$S$5:$S$9,"Clarify triage"),IFERROR(VLOOKUP(W149,Lookups!$Q$5:$S$9,3,FALSE),"Clarify triage"))</f>
        <v>Clarify use case, role, and decision impact; run triage workshop.</v>
      </c>
      <c r="Z149" s="4"/>
    </row>
    <row r="150" spans="1:26" ht="16" x14ac:dyDescent="0.2">
      <c r="A150" s="3" t="s">
        <v>260</v>
      </c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 t="str">
        <f ca="1">IF(OR(Q150="Yes",R150="Yes",S150="Yes"),"Prohibited",IF(OR(L150="Yes",M150="Yes",N150="Yes",O150="Yes",P150="Yes"),"High-risk",IFERROR(_xludf.XLOOKUP(E150,Lookups!$Q$14:$Q$23,Lookups!$R$14:$R$23,"Unknown"),IFERROR(VLOOKUP(E150,Lookups!$Q$14:$R$23,2,FALSE),"Unknown"))))</f>
        <v>Unknown</v>
      </c>
      <c r="X150" s="5" t="str">
        <f ca="1">IFERROR(_xludf.XLOOKUP(W150,Lookups!$Q$5:$Q$9,Lookups!$R$5:$R$9,"P2"),IFERROR(VLOOKUP(W150,Lookups!$Q$5:$R$9,2,FALSE),"P2"))</f>
        <v>P2</v>
      </c>
      <c r="Y150" s="5" t="str">
        <f ca="1">IFERROR(_xludf.XLOOKUP(W150,Lookups!$Q$5:$Q$9,Lookups!$S$5:$S$9,"Clarify triage"),IFERROR(VLOOKUP(W150,Lookups!$Q$5:$S$9,3,FALSE),"Clarify triage"))</f>
        <v>Clarify use case, role, and decision impact; run triage workshop.</v>
      </c>
      <c r="Z150" s="4"/>
    </row>
    <row r="151" spans="1:26" ht="16" x14ac:dyDescent="0.2">
      <c r="A151" s="3" t="s">
        <v>261</v>
      </c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 t="str">
        <f ca="1">IF(OR(Q151="Yes",R151="Yes",S151="Yes"),"Prohibited",IF(OR(L151="Yes",M151="Yes",N151="Yes",O151="Yes",P151="Yes"),"High-risk",IFERROR(_xludf.XLOOKUP(E151,Lookups!$Q$14:$Q$23,Lookups!$R$14:$R$23,"Unknown"),IFERROR(VLOOKUP(E151,Lookups!$Q$14:$R$23,2,FALSE),"Unknown"))))</f>
        <v>Unknown</v>
      </c>
      <c r="X151" s="5" t="str">
        <f ca="1">IFERROR(_xludf.XLOOKUP(W151,Lookups!$Q$5:$Q$9,Lookups!$R$5:$R$9,"P2"),IFERROR(VLOOKUP(W151,Lookups!$Q$5:$R$9,2,FALSE),"P2"))</f>
        <v>P2</v>
      </c>
      <c r="Y151" s="5" t="str">
        <f ca="1">IFERROR(_xludf.XLOOKUP(W151,Lookups!$Q$5:$Q$9,Lookups!$S$5:$S$9,"Clarify triage"),IFERROR(VLOOKUP(W151,Lookups!$Q$5:$S$9,3,FALSE),"Clarify triage"))</f>
        <v>Clarify use case, role, and decision impact; run triage workshop.</v>
      </c>
      <c r="Z151" s="4"/>
    </row>
    <row r="152" spans="1:26" ht="16" x14ac:dyDescent="0.2">
      <c r="A152" s="3" t="s">
        <v>262</v>
      </c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 t="str">
        <f ca="1">IF(OR(Q152="Yes",R152="Yes",S152="Yes"),"Prohibited",IF(OR(L152="Yes",M152="Yes",N152="Yes",O152="Yes",P152="Yes"),"High-risk",IFERROR(_xludf.XLOOKUP(E152,Lookups!$Q$14:$Q$23,Lookups!$R$14:$R$23,"Unknown"),IFERROR(VLOOKUP(E152,Lookups!$Q$14:$R$23,2,FALSE),"Unknown"))))</f>
        <v>Unknown</v>
      </c>
      <c r="X152" s="5" t="str">
        <f ca="1">IFERROR(_xludf.XLOOKUP(W152,Lookups!$Q$5:$Q$9,Lookups!$R$5:$R$9,"P2"),IFERROR(VLOOKUP(W152,Lookups!$Q$5:$R$9,2,FALSE),"P2"))</f>
        <v>P2</v>
      </c>
      <c r="Y152" s="5" t="str">
        <f ca="1">IFERROR(_xludf.XLOOKUP(W152,Lookups!$Q$5:$Q$9,Lookups!$S$5:$S$9,"Clarify triage"),IFERROR(VLOOKUP(W152,Lookups!$Q$5:$S$9,3,FALSE),"Clarify triage"))</f>
        <v>Clarify use case, role, and decision impact; run triage workshop.</v>
      </c>
      <c r="Z152" s="4"/>
    </row>
    <row r="153" spans="1:26" ht="16" x14ac:dyDescent="0.2">
      <c r="A153" s="3" t="s">
        <v>263</v>
      </c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 t="str">
        <f ca="1">IF(OR(Q153="Yes",R153="Yes",S153="Yes"),"Prohibited",IF(OR(L153="Yes",M153="Yes",N153="Yes",O153="Yes",P153="Yes"),"High-risk",IFERROR(_xludf.XLOOKUP(E153,Lookups!$Q$14:$Q$23,Lookups!$R$14:$R$23,"Unknown"),IFERROR(VLOOKUP(E153,Lookups!$Q$14:$R$23,2,FALSE),"Unknown"))))</f>
        <v>Unknown</v>
      </c>
      <c r="X153" s="5" t="str">
        <f ca="1">IFERROR(_xludf.XLOOKUP(W153,Lookups!$Q$5:$Q$9,Lookups!$R$5:$R$9,"P2"),IFERROR(VLOOKUP(W153,Lookups!$Q$5:$R$9,2,FALSE),"P2"))</f>
        <v>P2</v>
      </c>
      <c r="Y153" s="5" t="str">
        <f ca="1">IFERROR(_xludf.XLOOKUP(W153,Lookups!$Q$5:$Q$9,Lookups!$S$5:$S$9,"Clarify triage"),IFERROR(VLOOKUP(W153,Lookups!$Q$5:$S$9,3,FALSE),"Clarify triage"))</f>
        <v>Clarify use case, role, and decision impact; run triage workshop.</v>
      </c>
      <c r="Z153" s="4"/>
    </row>
    <row r="154" spans="1:26" ht="16" x14ac:dyDescent="0.2">
      <c r="A154" s="3" t="s">
        <v>264</v>
      </c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 t="str">
        <f ca="1">IF(OR(Q154="Yes",R154="Yes",S154="Yes"),"Prohibited",IF(OR(L154="Yes",M154="Yes",N154="Yes",O154="Yes",P154="Yes"),"High-risk",IFERROR(_xludf.XLOOKUP(E154,Lookups!$Q$14:$Q$23,Lookups!$R$14:$R$23,"Unknown"),IFERROR(VLOOKUP(E154,Lookups!$Q$14:$R$23,2,FALSE),"Unknown"))))</f>
        <v>Unknown</v>
      </c>
      <c r="X154" s="5" t="str">
        <f ca="1">IFERROR(_xludf.XLOOKUP(W154,Lookups!$Q$5:$Q$9,Lookups!$R$5:$R$9,"P2"),IFERROR(VLOOKUP(W154,Lookups!$Q$5:$R$9,2,FALSE),"P2"))</f>
        <v>P2</v>
      </c>
      <c r="Y154" s="5" t="str">
        <f ca="1">IFERROR(_xludf.XLOOKUP(W154,Lookups!$Q$5:$Q$9,Lookups!$S$5:$S$9,"Clarify triage"),IFERROR(VLOOKUP(W154,Lookups!$Q$5:$S$9,3,FALSE),"Clarify triage"))</f>
        <v>Clarify use case, role, and decision impact; run triage workshop.</v>
      </c>
      <c r="Z154" s="4"/>
    </row>
    <row r="155" spans="1:26" ht="16" x14ac:dyDescent="0.2">
      <c r="A155" s="3" t="s">
        <v>265</v>
      </c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 t="str">
        <f ca="1">IF(OR(Q155="Yes",R155="Yes",S155="Yes"),"Prohibited",IF(OR(L155="Yes",M155="Yes",N155="Yes",O155="Yes",P155="Yes"),"High-risk",IFERROR(_xludf.XLOOKUP(E155,Lookups!$Q$14:$Q$23,Lookups!$R$14:$R$23,"Unknown"),IFERROR(VLOOKUP(E155,Lookups!$Q$14:$R$23,2,FALSE),"Unknown"))))</f>
        <v>Unknown</v>
      </c>
      <c r="X155" s="5" t="str">
        <f ca="1">IFERROR(_xludf.XLOOKUP(W155,Lookups!$Q$5:$Q$9,Lookups!$R$5:$R$9,"P2"),IFERROR(VLOOKUP(W155,Lookups!$Q$5:$R$9,2,FALSE),"P2"))</f>
        <v>P2</v>
      </c>
      <c r="Y155" s="5" t="str">
        <f ca="1">IFERROR(_xludf.XLOOKUP(W155,Lookups!$Q$5:$Q$9,Lookups!$S$5:$S$9,"Clarify triage"),IFERROR(VLOOKUP(W155,Lookups!$Q$5:$S$9,3,FALSE),"Clarify triage"))</f>
        <v>Clarify use case, role, and decision impact; run triage workshop.</v>
      </c>
      <c r="Z155" s="4"/>
    </row>
    <row r="156" spans="1:26" ht="16" x14ac:dyDescent="0.2">
      <c r="A156" s="3" t="s">
        <v>266</v>
      </c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 t="str">
        <f ca="1">IF(OR(Q156="Yes",R156="Yes",S156="Yes"),"Prohibited",IF(OR(L156="Yes",M156="Yes",N156="Yes",O156="Yes",P156="Yes"),"High-risk",IFERROR(_xludf.XLOOKUP(E156,Lookups!$Q$14:$Q$23,Lookups!$R$14:$R$23,"Unknown"),IFERROR(VLOOKUP(E156,Lookups!$Q$14:$R$23,2,FALSE),"Unknown"))))</f>
        <v>Unknown</v>
      </c>
      <c r="X156" s="5" t="str">
        <f ca="1">IFERROR(_xludf.XLOOKUP(W156,Lookups!$Q$5:$Q$9,Lookups!$R$5:$R$9,"P2"),IFERROR(VLOOKUP(W156,Lookups!$Q$5:$R$9,2,FALSE),"P2"))</f>
        <v>P2</v>
      </c>
      <c r="Y156" s="5" t="str">
        <f ca="1">IFERROR(_xludf.XLOOKUP(W156,Lookups!$Q$5:$Q$9,Lookups!$S$5:$S$9,"Clarify triage"),IFERROR(VLOOKUP(W156,Lookups!$Q$5:$S$9,3,FALSE),"Clarify triage"))</f>
        <v>Clarify use case, role, and decision impact; run triage workshop.</v>
      </c>
      <c r="Z156" s="4"/>
    </row>
    <row r="157" spans="1:26" ht="16" x14ac:dyDescent="0.2">
      <c r="A157" s="3" t="s">
        <v>267</v>
      </c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 t="str">
        <f ca="1">IF(OR(Q157="Yes",R157="Yes",S157="Yes"),"Prohibited",IF(OR(L157="Yes",M157="Yes",N157="Yes",O157="Yes",P157="Yes"),"High-risk",IFERROR(_xludf.XLOOKUP(E157,Lookups!$Q$14:$Q$23,Lookups!$R$14:$R$23,"Unknown"),IFERROR(VLOOKUP(E157,Lookups!$Q$14:$R$23,2,FALSE),"Unknown"))))</f>
        <v>Unknown</v>
      </c>
      <c r="X157" s="5" t="str">
        <f ca="1">IFERROR(_xludf.XLOOKUP(W157,Lookups!$Q$5:$Q$9,Lookups!$R$5:$R$9,"P2"),IFERROR(VLOOKUP(W157,Lookups!$Q$5:$R$9,2,FALSE),"P2"))</f>
        <v>P2</v>
      </c>
      <c r="Y157" s="5" t="str">
        <f ca="1">IFERROR(_xludf.XLOOKUP(W157,Lookups!$Q$5:$Q$9,Lookups!$S$5:$S$9,"Clarify triage"),IFERROR(VLOOKUP(W157,Lookups!$Q$5:$S$9,3,FALSE),"Clarify triage"))</f>
        <v>Clarify use case, role, and decision impact; run triage workshop.</v>
      </c>
      <c r="Z157" s="4"/>
    </row>
    <row r="158" spans="1:26" ht="16" x14ac:dyDescent="0.2">
      <c r="A158" s="3" t="s">
        <v>268</v>
      </c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 t="str">
        <f ca="1">IF(OR(Q158="Yes",R158="Yes",S158="Yes"),"Prohibited",IF(OR(L158="Yes",M158="Yes",N158="Yes",O158="Yes",P158="Yes"),"High-risk",IFERROR(_xludf.XLOOKUP(E158,Lookups!$Q$14:$Q$23,Lookups!$R$14:$R$23,"Unknown"),IFERROR(VLOOKUP(E158,Lookups!$Q$14:$R$23,2,FALSE),"Unknown"))))</f>
        <v>Unknown</v>
      </c>
      <c r="X158" s="5" t="str">
        <f ca="1">IFERROR(_xludf.XLOOKUP(W158,Lookups!$Q$5:$Q$9,Lookups!$R$5:$R$9,"P2"),IFERROR(VLOOKUP(W158,Lookups!$Q$5:$R$9,2,FALSE),"P2"))</f>
        <v>P2</v>
      </c>
      <c r="Y158" s="5" t="str">
        <f ca="1">IFERROR(_xludf.XLOOKUP(W158,Lookups!$Q$5:$Q$9,Lookups!$S$5:$S$9,"Clarify triage"),IFERROR(VLOOKUP(W158,Lookups!$Q$5:$S$9,3,FALSE),"Clarify triage"))</f>
        <v>Clarify use case, role, and decision impact; run triage workshop.</v>
      </c>
      <c r="Z158" s="4"/>
    </row>
    <row r="159" spans="1:26" ht="16" x14ac:dyDescent="0.2">
      <c r="A159" s="3" t="s">
        <v>269</v>
      </c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 t="str">
        <f ca="1">IF(OR(Q159="Yes",R159="Yes",S159="Yes"),"Prohibited",IF(OR(L159="Yes",M159="Yes",N159="Yes",O159="Yes",P159="Yes"),"High-risk",IFERROR(_xludf.XLOOKUP(E159,Lookups!$Q$14:$Q$23,Lookups!$R$14:$R$23,"Unknown"),IFERROR(VLOOKUP(E159,Lookups!$Q$14:$R$23,2,FALSE),"Unknown"))))</f>
        <v>Unknown</v>
      </c>
      <c r="X159" s="5" t="str">
        <f ca="1">IFERROR(_xludf.XLOOKUP(W159,Lookups!$Q$5:$Q$9,Lookups!$R$5:$R$9,"P2"),IFERROR(VLOOKUP(W159,Lookups!$Q$5:$R$9,2,FALSE),"P2"))</f>
        <v>P2</v>
      </c>
      <c r="Y159" s="5" t="str">
        <f ca="1">IFERROR(_xludf.XLOOKUP(W159,Lookups!$Q$5:$Q$9,Lookups!$S$5:$S$9,"Clarify triage"),IFERROR(VLOOKUP(W159,Lookups!$Q$5:$S$9,3,FALSE),"Clarify triage"))</f>
        <v>Clarify use case, role, and decision impact; run triage workshop.</v>
      </c>
      <c r="Z159" s="4"/>
    </row>
    <row r="160" spans="1:26" ht="16" x14ac:dyDescent="0.2">
      <c r="A160" s="3" t="s">
        <v>270</v>
      </c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 t="str">
        <f ca="1">IF(OR(Q160="Yes",R160="Yes",S160="Yes"),"Prohibited",IF(OR(L160="Yes",M160="Yes",N160="Yes",O160="Yes",P160="Yes"),"High-risk",IFERROR(_xludf.XLOOKUP(E160,Lookups!$Q$14:$Q$23,Lookups!$R$14:$R$23,"Unknown"),IFERROR(VLOOKUP(E160,Lookups!$Q$14:$R$23,2,FALSE),"Unknown"))))</f>
        <v>Unknown</v>
      </c>
      <c r="X160" s="5" t="str">
        <f ca="1">IFERROR(_xludf.XLOOKUP(W160,Lookups!$Q$5:$Q$9,Lookups!$R$5:$R$9,"P2"),IFERROR(VLOOKUP(W160,Lookups!$Q$5:$R$9,2,FALSE),"P2"))</f>
        <v>P2</v>
      </c>
      <c r="Y160" s="5" t="str">
        <f ca="1">IFERROR(_xludf.XLOOKUP(W160,Lookups!$Q$5:$Q$9,Lookups!$S$5:$S$9,"Clarify triage"),IFERROR(VLOOKUP(W160,Lookups!$Q$5:$S$9,3,FALSE),"Clarify triage"))</f>
        <v>Clarify use case, role, and decision impact; run triage workshop.</v>
      </c>
      <c r="Z160" s="4"/>
    </row>
    <row r="161" spans="1:26" ht="16" x14ac:dyDescent="0.2">
      <c r="A161" s="3" t="s">
        <v>271</v>
      </c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5" t="str">
        <f ca="1">IF(OR(Q161="Yes",R161="Yes",S161="Yes"),"Prohibited",IF(OR(L161="Yes",M161="Yes",N161="Yes",O161="Yes",P161="Yes"),"High-risk",IFERROR(_xludf.XLOOKUP(E161,Lookups!$Q$14:$Q$23,Lookups!$R$14:$R$23,"Unknown"),IFERROR(VLOOKUP(E161,Lookups!$Q$14:$R$23,2,FALSE),"Unknown"))))</f>
        <v>Unknown</v>
      </c>
      <c r="X161" s="5" t="str">
        <f ca="1">IFERROR(_xludf.XLOOKUP(W161,Lookups!$Q$5:$Q$9,Lookups!$R$5:$R$9,"P2"),IFERROR(VLOOKUP(W161,Lookups!$Q$5:$R$9,2,FALSE),"P2"))</f>
        <v>P2</v>
      </c>
      <c r="Y161" s="5" t="str">
        <f ca="1">IFERROR(_xludf.XLOOKUP(W161,Lookups!$Q$5:$Q$9,Lookups!$S$5:$S$9,"Clarify triage"),IFERROR(VLOOKUP(W161,Lookups!$Q$5:$S$9,3,FALSE),"Clarify triage"))</f>
        <v>Clarify use case, role, and decision impact; run triage workshop.</v>
      </c>
      <c r="Z161" s="4"/>
    </row>
    <row r="162" spans="1:26" ht="16" x14ac:dyDescent="0.2">
      <c r="A162" s="3" t="s">
        <v>272</v>
      </c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5" t="str">
        <f ca="1">IF(OR(Q162="Yes",R162="Yes",S162="Yes"),"Prohibited",IF(OR(L162="Yes",M162="Yes",N162="Yes",O162="Yes",P162="Yes"),"High-risk",IFERROR(_xludf.XLOOKUP(E162,Lookups!$Q$14:$Q$23,Lookups!$R$14:$R$23,"Unknown"),IFERROR(VLOOKUP(E162,Lookups!$Q$14:$R$23,2,FALSE),"Unknown"))))</f>
        <v>Unknown</v>
      </c>
      <c r="X162" s="5" t="str">
        <f ca="1">IFERROR(_xludf.XLOOKUP(W162,Lookups!$Q$5:$Q$9,Lookups!$R$5:$R$9,"P2"),IFERROR(VLOOKUP(W162,Lookups!$Q$5:$R$9,2,FALSE),"P2"))</f>
        <v>P2</v>
      </c>
      <c r="Y162" s="5" t="str">
        <f ca="1">IFERROR(_xludf.XLOOKUP(W162,Lookups!$Q$5:$Q$9,Lookups!$S$5:$S$9,"Clarify triage"),IFERROR(VLOOKUP(W162,Lookups!$Q$5:$S$9,3,FALSE),"Clarify triage"))</f>
        <v>Clarify use case, role, and decision impact; run triage workshop.</v>
      </c>
      <c r="Z162" s="4"/>
    </row>
    <row r="163" spans="1:26" ht="16" x14ac:dyDescent="0.2">
      <c r="A163" s="3" t="s">
        <v>273</v>
      </c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5" t="str">
        <f ca="1">IF(OR(Q163="Yes",R163="Yes",S163="Yes"),"Prohibited",IF(OR(L163="Yes",M163="Yes",N163="Yes",O163="Yes",P163="Yes"),"High-risk",IFERROR(_xludf.XLOOKUP(E163,Lookups!$Q$14:$Q$23,Lookups!$R$14:$R$23,"Unknown"),IFERROR(VLOOKUP(E163,Lookups!$Q$14:$R$23,2,FALSE),"Unknown"))))</f>
        <v>Unknown</v>
      </c>
      <c r="X163" s="5" t="str">
        <f ca="1">IFERROR(_xludf.XLOOKUP(W163,Lookups!$Q$5:$Q$9,Lookups!$R$5:$R$9,"P2"),IFERROR(VLOOKUP(W163,Lookups!$Q$5:$R$9,2,FALSE),"P2"))</f>
        <v>P2</v>
      </c>
      <c r="Y163" s="5" t="str">
        <f ca="1">IFERROR(_xludf.XLOOKUP(W163,Lookups!$Q$5:$Q$9,Lookups!$S$5:$S$9,"Clarify triage"),IFERROR(VLOOKUP(W163,Lookups!$Q$5:$S$9,3,FALSE),"Clarify triage"))</f>
        <v>Clarify use case, role, and decision impact; run triage workshop.</v>
      </c>
      <c r="Z163" s="4"/>
    </row>
    <row r="164" spans="1:26" ht="16" x14ac:dyDescent="0.2">
      <c r="A164" s="3" t="s">
        <v>274</v>
      </c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 t="str">
        <f ca="1">IF(OR(Q164="Yes",R164="Yes",S164="Yes"),"Prohibited",IF(OR(L164="Yes",M164="Yes",N164="Yes",O164="Yes",P164="Yes"),"High-risk",IFERROR(_xludf.XLOOKUP(E164,Lookups!$Q$14:$Q$23,Lookups!$R$14:$R$23,"Unknown"),IFERROR(VLOOKUP(E164,Lookups!$Q$14:$R$23,2,FALSE),"Unknown"))))</f>
        <v>Unknown</v>
      </c>
      <c r="X164" s="5" t="str">
        <f ca="1">IFERROR(_xludf.XLOOKUP(W164,Lookups!$Q$5:$Q$9,Lookups!$R$5:$R$9,"P2"),IFERROR(VLOOKUP(W164,Lookups!$Q$5:$R$9,2,FALSE),"P2"))</f>
        <v>P2</v>
      </c>
      <c r="Y164" s="5" t="str">
        <f ca="1">IFERROR(_xludf.XLOOKUP(W164,Lookups!$Q$5:$Q$9,Lookups!$S$5:$S$9,"Clarify triage"),IFERROR(VLOOKUP(W164,Lookups!$Q$5:$S$9,3,FALSE),"Clarify triage"))</f>
        <v>Clarify use case, role, and decision impact; run triage workshop.</v>
      </c>
      <c r="Z164" s="4"/>
    </row>
    <row r="165" spans="1:26" ht="16" x14ac:dyDescent="0.2">
      <c r="A165" s="3" t="s">
        <v>275</v>
      </c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5" t="str">
        <f ca="1">IF(OR(Q165="Yes",R165="Yes",S165="Yes"),"Prohibited",IF(OR(L165="Yes",M165="Yes",N165="Yes",O165="Yes",P165="Yes"),"High-risk",IFERROR(_xludf.XLOOKUP(E165,Lookups!$Q$14:$Q$23,Lookups!$R$14:$R$23,"Unknown"),IFERROR(VLOOKUP(E165,Lookups!$Q$14:$R$23,2,FALSE),"Unknown"))))</f>
        <v>Unknown</v>
      </c>
      <c r="X165" s="5" t="str">
        <f ca="1">IFERROR(_xludf.XLOOKUP(W165,Lookups!$Q$5:$Q$9,Lookups!$R$5:$R$9,"P2"),IFERROR(VLOOKUP(W165,Lookups!$Q$5:$R$9,2,FALSE),"P2"))</f>
        <v>P2</v>
      </c>
      <c r="Y165" s="5" t="str">
        <f ca="1">IFERROR(_xludf.XLOOKUP(W165,Lookups!$Q$5:$Q$9,Lookups!$S$5:$S$9,"Clarify triage"),IFERROR(VLOOKUP(W165,Lookups!$Q$5:$S$9,3,FALSE),"Clarify triage"))</f>
        <v>Clarify use case, role, and decision impact; run triage workshop.</v>
      </c>
      <c r="Z165" s="4"/>
    </row>
    <row r="166" spans="1:26" ht="16" x14ac:dyDescent="0.2">
      <c r="A166" s="3" t="s">
        <v>276</v>
      </c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5" t="str">
        <f ca="1">IF(OR(Q166="Yes",R166="Yes",S166="Yes"),"Prohibited",IF(OR(L166="Yes",M166="Yes",N166="Yes",O166="Yes",P166="Yes"),"High-risk",IFERROR(_xludf.XLOOKUP(E166,Lookups!$Q$14:$Q$23,Lookups!$R$14:$R$23,"Unknown"),IFERROR(VLOOKUP(E166,Lookups!$Q$14:$R$23,2,FALSE),"Unknown"))))</f>
        <v>Unknown</v>
      </c>
      <c r="X166" s="5" t="str">
        <f ca="1">IFERROR(_xludf.XLOOKUP(W166,Lookups!$Q$5:$Q$9,Lookups!$R$5:$R$9,"P2"),IFERROR(VLOOKUP(W166,Lookups!$Q$5:$R$9,2,FALSE),"P2"))</f>
        <v>P2</v>
      </c>
      <c r="Y166" s="5" t="str">
        <f ca="1">IFERROR(_xludf.XLOOKUP(W166,Lookups!$Q$5:$Q$9,Lookups!$S$5:$S$9,"Clarify triage"),IFERROR(VLOOKUP(W166,Lookups!$Q$5:$S$9,3,FALSE),"Clarify triage"))</f>
        <v>Clarify use case, role, and decision impact; run triage workshop.</v>
      </c>
      <c r="Z166" s="4"/>
    </row>
    <row r="167" spans="1:26" ht="16" x14ac:dyDescent="0.2">
      <c r="A167" s="3" t="s">
        <v>277</v>
      </c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5" t="str">
        <f ca="1">IF(OR(Q167="Yes",R167="Yes",S167="Yes"),"Prohibited",IF(OR(L167="Yes",M167="Yes",N167="Yes",O167="Yes",P167="Yes"),"High-risk",IFERROR(_xludf.XLOOKUP(E167,Lookups!$Q$14:$Q$23,Lookups!$R$14:$R$23,"Unknown"),IFERROR(VLOOKUP(E167,Lookups!$Q$14:$R$23,2,FALSE),"Unknown"))))</f>
        <v>Unknown</v>
      </c>
      <c r="X167" s="5" t="str">
        <f ca="1">IFERROR(_xludf.XLOOKUP(W167,Lookups!$Q$5:$Q$9,Lookups!$R$5:$R$9,"P2"),IFERROR(VLOOKUP(W167,Lookups!$Q$5:$R$9,2,FALSE),"P2"))</f>
        <v>P2</v>
      </c>
      <c r="Y167" s="5" t="str">
        <f ca="1">IFERROR(_xludf.XLOOKUP(W167,Lookups!$Q$5:$Q$9,Lookups!$S$5:$S$9,"Clarify triage"),IFERROR(VLOOKUP(W167,Lookups!$Q$5:$S$9,3,FALSE),"Clarify triage"))</f>
        <v>Clarify use case, role, and decision impact; run triage workshop.</v>
      </c>
      <c r="Z167" s="4"/>
    </row>
    <row r="168" spans="1:26" ht="16" x14ac:dyDescent="0.2">
      <c r="A168" s="3" t="s">
        <v>278</v>
      </c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5" t="str">
        <f ca="1">IF(OR(Q168="Yes",R168="Yes",S168="Yes"),"Prohibited",IF(OR(L168="Yes",M168="Yes",N168="Yes",O168="Yes",P168="Yes"),"High-risk",IFERROR(_xludf.XLOOKUP(E168,Lookups!$Q$14:$Q$23,Lookups!$R$14:$R$23,"Unknown"),IFERROR(VLOOKUP(E168,Lookups!$Q$14:$R$23,2,FALSE),"Unknown"))))</f>
        <v>Unknown</v>
      </c>
      <c r="X168" s="5" t="str">
        <f ca="1">IFERROR(_xludf.XLOOKUP(W168,Lookups!$Q$5:$Q$9,Lookups!$R$5:$R$9,"P2"),IFERROR(VLOOKUP(W168,Lookups!$Q$5:$R$9,2,FALSE),"P2"))</f>
        <v>P2</v>
      </c>
      <c r="Y168" s="5" t="str">
        <f ca="1">IFERROR(_xludf.XLOOKUP(W168,Lookups!$Q$5:$Q$9,Lookups!$S$5:$S$9,"Clarify triage"),IFERROR(VLOOKUP(W168,Lookups!$Q$5:$S$9,3,FALSE),"Clarify triage"))</f>
        <v>Clarify use case, role, and decision impact; run triage workshop.</v>
      </c>
      <c r="Z168" s="4"/>
    </row>
    <row r="169" spans="1:26" ht="16" x14ac:dyDescent="0.2">
      <c r="A169" s="3" t="s">
        <v>279</v>
      </c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 t="str">
        <f ca="1">IF(OR(Q169="Yes",R169="Yes",S169="Yes"),"Prohibited",IF(OR(L169="Yes",M169="Yes",N169="Yes",O169="Yes",P169="Yes"),"High-risk",IFERROR(_xludf.XLOOKUP(E169,Lookups!$Q$14:$Q$23,Lookups!$R$14:$R$23,"Unknown"),IFERROR(VLOOKUP(E169,Lookups!$Q$14:$R$23,2,FALSE),"Unknown"))))</f>
        <v>Unknown</v>
      </c>
      <c r="X169" s="5" t="str">
        <f ca="1">IFERROR(_xludf.XLOOKUP(W169,Lookups!$Q$5:$Q$9,Lookups!$R$5:$R$9,"P2"),IFERROR(VLOOKUP(W169,Lookups!$Q$5:$R$9,2,FALSE),"P2"))</f>
        <v>P2</v>
      </c>
      <c r="Y169" s="5" t="str">
        <f ca="1">IFERROR(_xludf.XLOOKUP(W169,Lookups!$Q$5:$Q$9,Lookups!$S$5:$S$9,"Clarify triage"),IFERROR(VLOOKUP(W169,Lookups!$Q$5:$S$9,3,FALSE),"Clarify triage"))</f>
        <v>Clarify use case, role, and decision impact; run triage workshop.</v>
      </c>
      <c r="Z169" s="4"/>
    </row>
    <row r="170" spans="1:26" ht="16" x14ac:dyDescent="0.2">
      <c r="A170" s="3" t="s">
        <v>280</v>
      </c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 t="str">
        <f ca="1">IF(OR(Q170="Yes",R170="Yes",S170="Yes"),"Prohibited",IF(OR(L170="Yes",M170="Yes",N170="Yes",O170="Yes",P170="Yes"),"High-risk",IFERROR(_xludf.XLOOKUP(E170,Lookups!$Q$14:$Q$23,Lookups!$R$14:$R$23,"Unknown"),IFERROR(VLOOKUP(E170,Lookups!$Q$14:$R$23,2,FALSE),"Unknown"))))</f>
        <v>Unknown</v>
      </c>
      <c r="X170" s="5" t="str">
        <f ca="1">IFERROR(_xludf.XLOOKUP(W170,Lookups!$Q$5:$Q$9,Lookups!$R$5:$R$9,"P2"),IFERROR(VLOOKUP(W170,Lookups!$Q$5:$R$9,2,FALSE),"P2"))</f>
        <v>P2</v>
      </c>
      <c r="Y170" s="5" t="str">
        <f ca="1">IFERROR(_xludf.XLOOKUP(W170,Lookups!$Q$5:$Q$9,Lookups!$S$5:$S$9,"Clarify triage"),IFERROR(VLOOKUP(W170,Lookups!$Q$5:$S$9,3,FALSE),"Clarify triage"))</f>
        <v>Clarify use case, role, and decision impact; run triage workshop.</v>
      </c>
      <c r="Z170" s="4"/>
    </row>
    <row r="171" spans="1:26" ht="16" x14ac:dyDescent="0.2">
      <c r="A171" s="3" t="s">
        <v>281</v>
      </c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 t="str">
        <f ca="1">IF(OR(Q171="Yes",R171="Yes",S171="Yes"),"Prohibited",IF(OR(L171="Yes",M171="Yes",N171="Yes",O171="Yes",P171="Yes"),"High-risk",IFERROR(_xludf.XLOOKUP(E171,Lookups!$Q$14:$Q$23,Lookups!$R$14:$R$23,"Unknown"),IFERROR(VLOOKUP(E171,Lookups!$Q$14:$R$23,2,FALSE),"Unknown"))))</f>
        <v>Unknown</v>
      </c>
      <c r="X171" s="5" t="str">
        <f ca="1">IFERROR(_xludf.XLOOKUP(W171,Lookups!$Q$5:$Q$9,Lookups!$R$5:$R$9,"P2"),IFERROR(VLOOKUP(W171,Lookups!$Q$5:$R$9,2,FALSE),"P2"))</f>
        <v>P2</v>
      </c>
      <c r="Y171" s="5" t="str">
        <f ca="1">IFERROR(_xludf.XLOOKUP(W171,Lookups!$Q$5:$Q$9,Lookups!$S$5:$S$9,"Clarify triage"),IFERROR(VLOOKUP(W171,Lookups!$Q$5:$S$9,3,FALSE),"Clarify triage"))</f>
        <v>Clarify use case, role, and decision impact; run triage workshop.</v>
      </c>
      <c r="Z171" s="4"/>
    </row>
    <row r="172" spans="1:26" ht="16" x14ac:dyDescent="0.2">
      <c r="A172" s="3" t="s">
        <v>282</v>
      </c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 t="str">
        <f ca="1">IF(OR(Q172="Yes",R172="Yes",S172="Yes"),"Prohibited",IF(OR(L172="Yes",M172="Yes",N172="Yes",O172="Yes",P172="Yes"),"High-risk",IFERROR(_xludf.XLOOKUP(E172,Lookups!$Q$14:$Q$23,Lookups!$R$14:$R$23,"Unknown"),IFERROR(VLOOKUP(E172,Lookups!$Q$14:$R$23,2,FALSE),"Unknown"))))</f>
        <v>Unknown</v>
      </c>
      <c r="X172" s="5" t="str">
        <f ca="1">IFERROR(_xludf.XLOOKUP(W172,Lookups!$Q$5:$Q$9,Lookups!$R$5:$R$9,"P2"),IFERROR(VLOOKUP(W172,Lookups!$Q$5:$R$9,2,FALSE),"P2"))</f>
        <v>P2</v>
      </c>
      <c r="Y172" s="5" t="str">
        <f ca="1">IFERROR(_xludf.XLOOKUP(W172,Lookups!$Q$5:$Q$9,Lookups!$S$5:$S$9,"Clarify triage"),IFERROR(VLOOKUP(W172,Lookups!$Q$5:$S$9,3,FALSE),"Clarify triage"))</f>
        <v>Clarify use case, role, and decision impact; run triage workshop.</v>
      </c>
      <c r="Z172" s="4"/>
    </row>
    <row r="173" spans="1:26" ht="16" x14ac:dyDescent="0.2">
      <c r="A173" s="3" t="s">
        <v>283</v>
      </c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 t="str">
        <f ca="1">IF(OR(Q173="Yes",R173="Yes",S173="Yes"),"Prohibited",IF(OR(L173="Yes",M173="Yes",N173="Yes",O173="Yes",P173="Yes"),"High-risk",IFERROR(_xludf.XLOOKUP(E173,Lookups!$Q$14:$Q$23,Lookups!$R$14:$R$23,"Unknown"),IFERROR(VLOOKUP(E173,Lookups!$Q$14:$R$23,2,FALSE),"Unknown"))))</f>
        <v>Unknown</v>
      </c>
      <c r="X173" s="5" t="str">
        <f ca="1">IFERROR(_xludf.XLOOKUP(W173,Lookups!$Q$5:$Q$9,Lookups!$R$5:$R$9,"P2"),IFERROR(VLOOKUP(W173,Lookups!$Q$5:$R$9,2,FALSE),"P2"))</f>
        <v>P2</v>
      </c>
      <c r="Y173" s="5" t="str">
        <f ca="1">IFERROR(_xludf.XLOOKUP(W173,Lookups!$Q$5:$Q$9,Lookups!$S$5:$S$9,"Clarify triage"),IFERROR(VLOOKUP(W173,Lookups!$Q$5:$S$9,3,FALSE),"Clarify triage"))</f>
        <v>Clarify use case, role, and decision impact; run triage workshop.</v>
      </c>
      <c r="Z173" s="4"/>
    </row>
    <row r="174" spans="1:26" ht="16" x14ac:dyDescent="0.2">
      <c r="A174" s="3" t="s">
        <v>284</v>
      </c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 t="str">
        <f ca="1">IF(OR(Q174="Yes",R174="Yes",S174="Yes"),"Prohibited",IF(OR(L174="Yes",M174="Yes",N174="Yes",O174="Yes",P174="Yes"),"High-risk",IFERROR(_xludf.XLOOKUP(E174,Lookups!$Q$14:$Q$23,Lookups!$R$14:$R$23,"Unknown"),IFERROR(VLOOKUP(E174,Lookups!$Q$14:$R$23,2,FALSE),"Unknown"))))</f>
        <v>Unknown</v>
      </c>
      <c r="X174" s="5" t="str">
        <f ca="1">IFERROR(_xludf.XLOOKUP(W174,Lookups!$Q$5:$Q$9,Lookups!$R$5:$R$9,"P2"),IFERROR(VLOOKUP(W174,Lookups!$Q$5:$R$9,2,FALSE),"P2"))</f>
        <v>P2</v>
      </c>
      <c r="Y174" s="5" t="str">
        <f ca="1">IFERROR(_xludf.XLOOKUP(W174,Lookups!$Q$5:$Q$9,Lookups!$S$5:$S$9,"Clarify triage"),IFERROR(VLOOKUP(W174,Lookups!$Q$5:$S$9,3,FALSE),"Clarify triage"))</f>
        <v>Clarify use case, role, and decision impact; run triage workshop.</v>
      </c>
      <c r="Z174" s="4"/>
    </row>
    <row r="175" spans="1:26" ht="16" x14ac:dyDescent="0.2">
      <c r="A175" s="3" t="s">
        <v>285</v>
      </c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 t="str">
        <f ca="1">IF(OR(Q175="Yes",R175="Yes",S175="Yes"),"Prohibited",IF(OR(L175="Yes",M175="Yes",N175="Yes",O175="Yes",P175="Yes"),"High-risk",IFERROR(_xludf.XLOOKUP(E175,Lookups!$Q$14:$Q$23,Lookups!$R$14:$R$23,"Unknown"),IFERROR(VLOOKUP(E175,Lookups!$Q$14:$R$23,2,FALSE),"Unknown"))))</f>
        <v>Unknown</v>
      </c>
      <c r="X175" s="5" t="str">
        <f ca="1">IFERROR(_xludf.XLOOKUP(W175,Lookups!$Q$5:$Q$9,Lookups!$R$5:$R$9,"P2"),IFERROR(VLOOKUP(W175,Lookups!$Q$5:$R$9,2,FALSE),"P2"))</f>
        <v>P2</v>
      </c>
      <c r="Y175" s="5" t="str">
        <f ca="1">IFERROR(_xludf.XLOOKUP(W175,Lookups!$Q$5:$Q$9,Lookups!$S$5:$S$9,"Clarify triage"),IFERROR(VLOOKUP(W175,Lookups!$Q$5:$S$9,3,FALSE),"Clarify triage"))</f>
        <v>Clarify use case, role, and decision impact; run triage workshop.</v>
      </c>
      <c r="Z175" s="4"/>
    </row>
    <row r="176" spans="1:26" ht="16" x14ac:dyDescent="0.2">
      <c r="A176" s="3" t="s">
        <v>286</v>
      </c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 t="str">
        <f ca="1">IF(OR(Q176="Yes",R176="Yes",S176="Yes"),"Prohibited",IF(OR(L176="Yes",M176="Yes",N176="Yes",O176="Yes",P176="Yes"),"High-risk",IFERROR(_xludf.XLOOKUP(E176,Lookups!$Q$14:$Q$23,Lookups!$R$14:$R$23,"Unknown"),IFERROR(VLOOKUP(E176,Lookups!$Q$14:$R$23,2,FALSE),"Unknown"))))</f>
        <v>Unknown</v>
      </c>
      <c r="X176" s="5" t="str">
        <f ca="1">IFERROR(_xludf.XLOOKUP(W176,Lookups!$Q$5:$Q$9,Lookups!$R$5:$R$9,"P2"),IFERROR(VLOOKUP(W176,Lookups!$Q$5:$R$9,2,FALSE),"P2"))</f>
        <v>P2</v>
      </c>
      <c r="Y176" s="5" t="str">
        <f ca="1">IFERROR(_xludf.XLOOKUP(W176,Lookups!$Q$5:$Q$9,Lookups!$S$5:$S$9,"Clarify triage"),IFERROR(VLOOKUP(W176,Lookups!$Q$5:$S$9,3,FALSE),"Clarify triage"))</f>
        <v>Clarify use case, role, and decision impact; run triage workshop.</v>
      </c>
      <c r="Z176" s="4"/>
    </row>
    <row r="177" spans="1:26" ht="16" x14ac:dyDescent="0.2">
      <c r="A177" s="3" t="s">
        <v>287</v>
      </c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 t="str">
        <f ca="1">IF(OR(Q177="Yes",R177="Yes",S177="Yes"),"Prohibited",IF(OR(L177="Yes",M177="Yes",N177="Yes",O177="Yes",P177="Yes"),"High-risk",IFERROR(_xludf.XLOOKUP(E177,Lookups!$Q$14:$Q$23,Lookups!$R$14:$R$23,"Unknown"),IFERROR(VLOOKUP(E177,Lookups!$Q$14:$R$23,2,FALSE),"Unknown"))))</f>
        <v>Unknown</v>
      </c>
      <c r="X177" s="5" t="str">
        <f ca="1">IFERROR(_xludf.XLOOKUP(W177,Lookups!$Q$5:$Q$9,Lookups!$R$5:$R$9,"P2"),IFERROR(VLOOKUP(W177,Lookups!$Q$5:$R$9,2,FALSE),"P2"))</f>
        <v>P2</v>
      </c>
      <c r="Y177" s="5" t="str">
        <f ca="1">IFERROR(_xludf.XLOOKUP(W177,Lookups!$Q$5:$Q$9,Lookups!$S$5:$S$9,"Clarify triage"),IFERROR(VLOOKUP(W177,Lookups!$Q$5:$S$9,3,FALSE),"Clarify triage"))</f>
        <v>Clarify use case, role, and decision impact; run triage workshop.</v>
      </c>
      <c r="Z177" s="4"/>
    </row>
    <row r="178" spans="1:26" ht="16" x14ac:dyDescent="0.2">
      <c r="A178" s="3" t="s">
        <v>288</v>
      </c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5" t="str">
        <f ca="1">IF(OR(Q178="Yes",R178="Yes",S178="Yes"),"Prohibited",IF(OR(L178="Yes",M178="Yes",N178="Yes",O178="Yes",P178="Yes"),"High-risk",IFERROR(_xludf.XLOOKUP(E178,Lookups!$Q$14:$Q$23,Lookups!$R$14:$R$23,"Unknown"),IFERROR(VLOOKUP(E178,Lookups!$Q$14:$R$23,2,FALSE),"Unknown"))))</f>
        <v>Unknown</v>
      </c>
      <c r="X178" s="5" t="str">
        <f ca="1">IFERROR(_xludf.XLOOKUP(W178,Lookups!$Q$5:$Q$9,Lookups!$R$5:$R$9,"P2"),IFERROR(VLOOKUP(W178,Lookups!$Q$5:$R$9,2,FALSE),"P2"))</f>
        <v>P2</v>
      </c>
      <c r="Y178" s="5" t="str">
        <f ca="1">IFERROR(_xludf.XLOOKUP(W178,Lookups!$Q$5:$Q$9,Lookups!$S$5:$S$9,"Clarify triage"),IFERROR(VLOOKUP(W178,Lookups!$Q$5:$S$9,3,FALSE),"Clarify triage"))</f>
        <v>Clarify use case, role, and decision impact; run triage workshop.</v>
      </c>
      <c r="Z178" s="4"/>
    </row>
    <row r="179" spans="1:26" ht="16" x14ac:dyDescent="0.2">
      <c r="A179" s="3" t="s">
        <v>289</v>
      </c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5" t="str">
        <f ca="1">IF(OR(Q179="Yes",R179="Yes",S179="Yes"),"Prohibited",IF(OR(L179="Yes",M179="Yes",N179="Yes",O179="Yes",P179="Yes"),"High-risk",IFERROR(_xludf.XLOOKUP(E179,Lookups!$Q$14:$Q$23,Lookups!$R$14:$R$23,"Unknown"),IFERROR(VLOOKUP(E179,Lookups!$Q$14:$R$23,2,FALSE),"Unknown"))))</f>
        <v>Unknown</v>
      </c>
      <c r="X179" s="5" t="str">
        <f ca="1">IFERROR(_xludf.XLOOKUP(W179,Lookups!$Q$5:$Q$9,Lookups!$R$5:$R$9,"P2"),IFERROR(VLOOKUP(W179,Lookups!$Q$5:$R$9,2,FALSE),"P2"))</f>
        <v>P2</v>
      </c>
      <c r="Y179" s="5" t="str">
        <f ca="1">IFERROR(_xludf.XLOOKUP(W179,Lookups!$Q$5:$Q$9,Lookups!$S$5:$S$9,"Clarify triage"),IFERROR(VLOOKUP(W179,Lookups!$Q$5:$S$9,3,FALSE),"Clarify triage"))</f>
        <v>Clarify use case, role, and decision impact; run triage workshop.</v>
      </c>
      <c r="Z179" s="4"/>
    </row>
    <row r="180" spans="1:26" ht="16" x14ac:dyDescent="0.2">
      <c r="A180" s="3" t="s">
        <v>290</v>
      </c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5" t="str">
        <f ca="1">IF(OR(Q180="Yes",R180="Yes",S180="Yes"),"Prohibited",IF(OR(L180="Yes",M180="Yes",N180="Yes",O180="Yes",P180="Yes"),"High-risk",IFERROR(_xludf.XLOOKUP(E180,Lookups!$Q$14:$Q$23,Lookups!$R$14:$R$23,"Unknown"),IFERROR(VLOOKUP(E180,Lookups!$Q$14:$R$23,2,FALSE),"Unknown"))))</f>
        <v>Unknown</v>
      </c>
      <c r="X180" s="5" t="str">
        <f ca="1">IFERROR(_xludf.XLOOKUP(W180,Lookups!$Q$5:$Q$9,Lookups!$R$5:$R$9,"P2"),IFERROR(VLOOKUP(W180,Lookups!$Q$5:$R$9,2,FALSE),"P2"))</f>
        <v>P2</v>
      </c>
      <c r="Y180" s="5" t="str">
        <f ca="1">IFERROR(_xludf.XLOOKUP(W180,Lookups!$Q$5:$Q$9,Lookups!$S$5:$S$9,"Clarify triage"),IFERROR(VLOOKUP(W180,Lookups!$Q$5:$S$9,3,FALSE),"Clarify triage"))</f>
        <v>Clarify use case, role, and decision impact; run triage workshop.</v>
      </c>
      <c r="Z180" s="4"/>
    </row>
    <row r="181" spans="1:26" ht="16" x14ac:dyDescent="0.2">
      <c r="A181" s="3" t="s">
        <v>291</v>
      </c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5" t="str">
        <f ca="1">IF(OR(Q181="Yes",R181="Yes",S181="Yes"),"Prohibited",IF(OR(L181="Yes",M181="Yes",N181="Yes",O181="Yes",P181="Yes"),"High-risk",IFERROR(_xludf.XLOOKUP(E181,Lookups!$Q$14:$Q$23,Lookups!$R$14:$R$23,"Unknown"),IFERROR(VLOOKUP(E181,Lookups!$Q$14:$R$23,2,FALSE),"Unknown"))))</f>
        <v>Unknown</v>
      </c>
      <c r="X181" s="5" t="str">
        <f ca="1">IFERROR(_xludf.XLOOKUP(W181,Lookups!$Q$5:$Q$9,Lookups!$R$5:$R$9,"P2"),IFERROR(VLOOKUP(W181,Lookups!$Q$5:$R$9,2,FALSE),"P2"))</f>
        <v>P2</v>
      </c>
      <c r="Y181" s="5" t="str">
        <f ca="1">IFERROR(_xludf.XLOOKUP(W181,Lookups!$Q$5:$Q$9,Lookups!$S$5:$S$9,"Clarify triage"),IFERROR(VLOOKUP(W181,Lookups!$Q$5:$S$9,3,FALSE),"Clarify triage"))</f>
        <v>Clarify use case, role, and decision impact; run triage workshop.</v>
      </c>
      <c r="Z181" s="4"/>
    </row>
    <row r="182" spans="1:26" ht="16" x14ac:dyDescent="0.2">
      <c r="A182" s="3" t="s">
        <v>292</v>
      </c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 t="str">
        <f ca="1">IF(OR(Q182="Yes",R182="Yes",S182="Yes"),"Prohibited",IF(OR(L182="Yes",M182="Yes",N182="Yes",O182="Yes",P182="Yes"),"High-risk",IFERROR(_xludf.XLOOKUP(E182,Lookups!$Q$14:$Q$23,Lookups!$R$14:$R$23,"Unknown"),IFERROR(VLOOKUP(E182,Lookups!$Q$14:$R$23,2,FALSE),"Unknown"))))</f>
        <v>Unknown</v>
      </c>
      <c r="X182" s="5" t="str">
        <f ca="1">IFERROR(_xludf.XLOOKUP(W182,Lookups!$Q$5:$Q$9,Lookups!$R$5:$R$9,"P2"),IFERROR(VLOOKUP(W182,Lookups!$Q$5:$R$9,2,FALSE),"P2"))</f>
        <v>P2</v>
      </c>
      <c r="Y182" s="5" t="str">
        <f ca="1">IFERROR(_xludf.XLOOKUP(W182,Lookups!$Q$5:$Q$9,Lookups!$S$5:$S$9,"Clarify triage"),IFERROR(VLOOKUP(W182,Lookups!$Q$5:$S$9,3,FALSE),"Clarify triage"))</f>
        <v>Clarify use case, role, and decision impact; run triage workshop.</v>
      </c>
      <c r="Z182" s="4"/>
    </row>
    <row r="183" spans="1:26" ht="16" x14ac:dyDescent="0.2">
      <c r="A183" s="3" t="s">
        <v>293</v>
      </c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5" t="str">
        <f ca="1">IF(OR(Q183="Yes",R183="Yes",S183="Yes"),"Prohibited",IF(OR(L183="Yes",M183="Yes",N183="Yes",O183="Yes",P183="Yes"),"High-risk",IFERROR(_xludf.XLOOKUP(E183,Lookups!$Q$14:$Q$23,Lookups!$R$14:$R$23,"Unknown"),IFERROR(VLOOKUP(E183,Lookups!$Q$14:$R$23,2,FALSE),"Unknown"))))</f>
        <v>Unknown</v>
      </c>
      <c r="X183" s="5" t="str">
        <f ca="1">IFERROR(_xludf.XLOOKUP(W183,Lookups!$Q$5:$Q$9,Lookups!$R$5:$R$9,"P2"),IFERROR(VLOOKUP(W183,Lookups!$Q$5:$R$9,2,FALSE),"P2"))</f>
        <v>P2</v>
      </c>
      <c r="Y183" s="5" t="str">
        <f ca="1">IFERROR(_xludf.XLOOKUP(W183,Lookups!$Q$5:$Q$9,Lookups!$S$5:$S$9,"Clarify triage"),IFERROR(VLOOKUP(W183,Lookups!$Q$5:$S$9,3,FALSE),"Clarify triage"))</f>
        <v>Clarify use case, role, and decision impact; run triage workshop.</v>
      </c>
      <c r="Z183" s="4"/>
    </row>
    <row r="184" spans="1:26" ht="16" x14ac:dyDescent="0.2">
      <c r="A184" s="3" t="s">
        <v>294</v>
      </c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 t="str">
        <f ca="1">IF(OR(Q184="Yes",R184="Yes",S184="Yes"),"Prohibited",IF(OR(L184="Yes",M184="Yes",N184="Yes",O184="Yes",P184="Yes"),"High-risk",IFERROR(_xludf.XLOOKUP(E184,Lookups!$Q$14:$Q$23,Lookups!$R$14:$R$23,"Unknown"),IFERROR(VLOOKUP(E184,Lookups!$Q$14:$R$23,2,FALSE),"Unknown"))))</f>
        <v>Unknown</v>
      </c>
      <c r="X184" s="5" t="str">
        <f ca="1">IFERROR(_xludf.XLOOKUP(W184,Lookups!$Q$5:$Q$9,Lookups!$R$5:$R$9,"P2"),IFERROR(VLOOKUP(W184,Lookups!$Q$5:$R$9,2,FALSE),"P2"))</f>
        <v>P2</v>
      </c>
      <c r="Y184" s="5" t="str">
        <f ca="1">IFERROR(_xludf.XLOOKUP(W184,Lookups!$Q$5:$Q$9,Lookups!$S$5:$S$9,"Clarify triage"),IFERROR(VLOOKUP(W184,Lookups!$Q$5:$S$9,3,FALSE),"Clarify triage"))</f>
        <v>Clarify use case, role, and decision impact; run triage workshop.</v>
      </c>
      <c r="Z184" s="4"/>
    </row>
    <row r="185" spans="1:26" ht="16" x14ac:dyDescent="0.2">
      <c r="A185" s="3" t="s">
        <v>295</v>
      </c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 t="str">
        <f ca="1">IF(OR(Q185="Yes",R185="Yes",S185="Yes"),"Prohibited",IF(OR(L185="Yes",M185="Yes",N185="Yes",O185="Yes",P185="Yes"),"High-risk",IFERROR(_xludf.XLOOKUP(E185,Lookups!$Q$14:$Q$23,Lookups!$R$14:$R$23,"Unknown"),IFERROR(VLOOKUP(E185,Lookups!$Q$14:$R$23,2,FALSE),"Unknown"))))</f>
        <v>Unknown</v>
      </c>
      <c r="X185" s="5" t="str">
        <f ca="1">IFERROR(_xludf.XLOOKUP(W185,Lookups!$Q$5:$Q$9,Lookups!$R$5:$R$9,"P2"),IFERROR(VLOOKUP(W185,Lookups!$Q$5:$R$9,2,FALSE),"P2"))</f>
        <v>P2</v>
      </c>
      <c r="Y185" s="5" t="str">
        <f ca="1">IFERROR(_xludf.XLOOKUP(W185,Lookups!$Q$5:$Q$9,Lookups!$S$5:$S$9,"Clarify triage"),IFERROR(VLOOKUP(W185,Lookups!$Q$5:$S$9,3,FALSE),"Clarify triage"))</f>
        <v>Clarify use case, role, and decision impact; run triage workshop.</v>
      </c>
      <c r="Z185" s="4"/>
    </row>
    <row r="186" spans="1:26" ht="16" x14ac:dyDescent="0.2">
      <c r="A186" s="3" t="s">
        <v>296</v>
      </c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 t="str">
        <f ca="1">IF(OR(Q186="Yes",R186="Yes",S186="Yes"),"Prohibited",IF(OR(L186="Yes",M186="Yes",N186="Yes",O186="Yes",P186="Yes"),"High-risk",IFERROR(_xludf.XLOOKUP(E186,Lookups!$Q$14:$Q$23,Lookups!$R$14:$R$23,"Unknown"),IFERROR(VLOOKUP(E186,Lookups!$Q$14:$R$23,2,FALSE),"Unknown"))))</f>
        <v>Unknown</v>
      </c>
      <c r="X186" s="5" t="str">
        <f ca="1">IFERROR(_xludf.XLOOKUP(W186,Lookups!$Q$5:$Q$9,Lookups!$R$5:$R$9,"P2"),IFERROR(VLOOKUP(W186,Lookups!$Q$5:$R$9,2,FALSE),"P2"))</f>
        <v>P2</v>
      </c>
      <c r="Y186" s="5" t="str">
        <f ca="1">IFERROR(_xludf.XLOOKUP(W186,Lookups!$Q$5:$Q$9,Lookups!$S$5:$S$9,"Clarify triage"),IFERROR(VLOOKUP(W186,Lookups!$Q$5:$S$9,3,FALSE),"Clarify triage"))</f>
        <v>Clarify use case, role, and decision impact; run triage workshop.</v>
      </c>
      <c r="Z186" s="4"/>
    </row>
    <row r="187" spans="1:26" ht="16" x14ac:dyDescent="0.2">
      <c r="A187" s="3" t="s">
        <v>297</v>
      </c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5" t="str">
        <f ca="1">IF(OR(Q187="Yes",R187="Yes",S187="Yes"),"Prohibited",IF(OR(L187="Yes",M187="Yes",N187="Yes",O187="Yes",P187="Yes"),"High-risk",IFERROR(_xludf.XLOOKUP(E187,Lookups!$Q$14:$Q$23,Lookups!$R$14:$R$23,"Unknown"),IFERROR(VLOOKUP(E187,Lookups!$Q$14:$R$23,2,FALSE),"Unknown"))))</f>
        <v>Unknown</v>
      </c>
      <c r="X187" s="5" t="str">
        <f ca="1">IFERROR(_xludf.XLOOKUP(W187,Lookups!$Q$5:$Q$9,Lookups!$R$5:$R$9,"P2"),IFERROR(VLOOKUP(W187,Lookups!$Q$5:$R$9,2,FALSE),"P2"))</f>
        <v>P2</v>
      </c>
      <c r="Y187" s="5" t="str">
        <f ca="1">IFERROR(_xludf.XLOOKUP(W187,Lookups!$Q$5:$Q$9,Lookups!$S$5:$S$9,"Clarify triage"),IFERROR(VLOOKUP(W187,Lookups!$Q$5:$S$9,3,FALSE),"Clarify triage"))</f>
        <v>Clarify use case, role, and decision impact; run triage workshop.</v>
      </c>
      <c r="Z187" s="4"/>
    </row>
    <row r="188" spans="1:26" ht="16" x14ac:dyDescent="0.2">
      <c r="A188" s="3" t="s">
        <v>298</v>
      </c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 t="str">
        <f ca="1">IF(OR(Q188="Yes",R188="Yes",S188="Yes"),"Prohibited",IF(OR(L188="Yes",M188="Yes",N188="Yes",O188="Yes",P188="Yes"),"High-risk",IFERROR(_xludf.XLOOKUP(E188,Lookups!$Q$14:$Q$23,Lookups!$R$14:$R$23,"Unknown"),IFERROR(VLOOKUP(E188,Lookups!$Q$14:$R$23,2,FALSE),"Unknown"))))</f>
        <v>Unknown</v>
      </c>
      <c r="X188" s="5" t="str">
        <f ca="1">IFERROR(_xludf.XLOOKUP(W188,Lookups!$Q$5:$Q$9,Lookups!$R$5:$R$9,"P2"),IFERROR(VLOOKUP(W188,Lookups!$Q$5:$R$9,2,FALSE),"P2"))</f>
        <v>P2</v>
      </c>
      <c r="Y188" s="5" t="str">
        <f ca="1">IFERROR(_xludf.XLOOKUP(W188,Lookups!$Q$5:$Q$9,Lookups!$S$5:$S$9,"Clarify triage"),IFERROR(VLOOKUP(W188,Lookups!$Q$5:$S$9,3,FALSE),"Clarify triage"))</f>
        <v>Clarify use case, role, and decision impact; run triage workshop.</v>
      </c>
      <c r="Z188" s="4"/>
    </row>
    <row r="189" spans="1:26" ht="16" x14ac:dyDescent="0.2">
      <c r="A189" s="3" t="s">
        <v>299</v>
      </c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5" t="str">
        <f ca="1">IF(OR(Q189="Yes",R189="Yes",S189="Yes"),"Prohibited",IF(OR(L189="Yes",M189="Yes",N189="Yes",O189="Yes",P189="Yes"),"High-risk",IFERROR(_xludf.XLOOKUP(E189,Lookups!$Q$14:$Q$23,Lookups!$R$14:$R$23,"Unknown"),IFERROR(VLOOKUP(E189,Lookups!$Q$14:$R$23,2,FALSE),"Unknown"))))</f>
        <v>Unknown</v>
      </c>
      <c r="X189" s="5" t="str">
        <f ca="1">IFERROR(_xludf.XLOOKUP(W189,Lookups!$Q$5:$Q$9,Lookups!$R$5:$R$9,"P2"),IFERROR(VLOOKUP(W189,Lookups!$Q$5:$R$9,2,FALSE),"P2"))</f>
        <v>P2</v>
      </c>
      <c r="Y189" s="5" t="str">
        <f ca="1">IFERROR(_xludf.XLOOKUP(W189,Lookups!$Q$5:$Q$9,Lookups!$S$5:$S$9,"Clarify triage"),IFERROR(VLOOKUP(W189,Lookups!$Q$5:$S$9,3,FALSE),"Clarify triage"))</f>
        <v>Clarify use case, role, and decision impact; run triage workshop.</v>
      </c>
      <c r="Z189" s="4"/>
    </row>
    <row r="190" spans="1:26" ht="16" x14ac:dyDescent="0.2">
      <c r="A190" s="3" t="s">
        <v>300</v>
      </c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 t="str">
        <f ca="1">IF(OR(Q190="Yes",R190="Yes",S190="Yes"),"Prohibited",IF(OR(L190="Yes",M190="Yes",N190="Yes",O190="Yes",P190="Yes"),"High-risk",IFERROR(_xludf.XLOOKUP(E190,Lookups!$Q$14:$Q$23,Lookups!$R$14:$R$23,"Unknown"),IFERROR(VLOOKUP(E190,Lookups!$Q$14:$R$23,2,FALSE),"Unknown"))))</f>
        <v>Unknown</v>
      </c>
      <c r="X190" s="5" t="str">
        <f ca="1">IFERROR(_xludf.XLOOKUP(W190,Lookups!$Q$5:$Q$9,Lookups!$R$5:$R$9,"P2"),IFERROR(VLOOKUP(W190,Lookups!$Q$5:$R$9,2,FALSE),"P2"))</f>
        <v>P2</v>
      </c>
      <c r="Y190" s="5" t="str">
        <f ca="1">IFERROR(_xludf.XLOOKUP(W190,Lookups!$Q$5:$Q$9,Lookups!$S$5:$S$9,"Clarify triage"),IFERROR(VLOOKUP(W190,Lookups!$Q$5:$S$9,3,FALSE),"Clarify triage"))</f>
        <v>Clarify use case, role, and decision impact; run triage workshop.</v>
      </c>
      <c r="Z190" s="4"/>
    </row>
    <row r="191" spans="1:26" ht="16" x14ac:dyDescent="0.2">
      <c r="A191" s="3" t="s">
        <v>301</v>
      </c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 t="str">
        <f ca="1">IF(OR(Q191="Yes",R191="Yes",S191="Yes"),"Prohibited",IF(OR(L191="Yes",M191="Yes",N191="Yes",O191="Yes",P191="Yes"),"High-risk",IFERROR(_xludf.XLOOKUP(E191,Lookups!$Q$14:$Q$23,Lookups!$R$14:$R$23,"Unknown"),IFERROR(VLOOKUP(E191,Lookups!$Q$14:$R$23,2,FALSE),"Unknown"))))</f>
        <v>Unknown</v>
      </c>
      <c r="X191" s="5" t="str">
        <f ca="1">IFERROR(_xludf.XLOOKUP(W191,Lookups!$Q$5:$Q$9,Lookups!$R$5:$R$9,"P2"),IFERROR(VLOOKUP(W191,Lookups!$Q$5:$R$9,2,FALSE),"P2"))</f>
        <v>P2</v>
      </c>
      <c r="Y191" s="5" t="str">
        <f ca="1">IFERROR(_xludf.XLOOKUP(W191,Lookups!$Q$5:$Q$9,Lookups!$S$5:$S$9,"Clarify triage"),IFERROR(VLOOKUP(W191,Lookups!$Q$5:$S$9,3,FALSE),"Clarify triage"))</f>
        <v>Clarify use case, role, and decision impact; run triage workshop.</v>
      </c>
      <c r="Z191" s="4"/>
    </row>
    <row r="192" spans="1:26" ht="16" x14ac:dyDescent="0.2">
      <c r="A192" s="3" t="s">
        <v>302</v>
      </c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 t="str">
        <f ca="1">IF(OR(Q192="Yes",R192="Yes",S192="Yes"),"Prohibited",IF(OR(L192="Yes",M192="Yes",N192="Yes",O192="Yes",P192="Yes"),"High-risk",IFERROR(_xludf.XLOOKUP(E192,Lookups!$Q$14:$Q$23,Lookups!$R$14:$R$23,"Unknown"),IFERROR(VLOOKUP(E192,Lookups!$Q$14:$R$23,2,FALSE),"Unknown"))))</f>
        <v>Unknown</v>
      </c>
      <c r="X192" s="5" t="str">
        <f ca="1">IFERROR(_xludf.XLOOKUP(W192,Lookups!$Q$5:$Q$9,Lookups!$R$5:$R$9,"P2"),IFERROR(VLOOKUP(W192,Lookups!$Q$5:$R$9,2,FALSE),"P2"))</f>
        <v>P2</v>
      </c>
      <c r="Y192" s="5" t="str">
        <f ca="1">IFERROR(_xludf.XLOOKUP(W192,Lookups!$Q$5:$Q$9,Lookups!$S$5:$S$9,"Clarify triage"),IFERROR(VLOOKUP(W192,Lookups!$Q$5:$S$9,3,FALSE),"Clarify triage"))</f>
        <v>Clarify use case, role, and decision impact; run triage workshop.</v>
      </c>
      <c r="Z192" s="4"/>
    </row>
    <row r="193" spans="1:26" ht="16" x14ac:dyDescent="0.2">
      <c r="A193" s="3" t="s">
        <v>303</v>
      </c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 t="str">
        <f ca="1">IF(OR(Q193="Yes",R193="Yes",S193="Yes"),"Prohibited",IF(OR(L193="Yes",M193="Yes",N193="Yes",O193="Yes",P193="Yes"),"High-risk",IFERROR(_xludf.XLOOKUP(E193,Lookups!$Q$14:$Q$23,Lookups!$R$14:$R$23,"Unknown"),IFERROR(VLOOKUP(E193,Lookups!$Q$14:$R$23,2,FALSE),"Unknown"))))</f>
        <v>Unknown</v>
      </c>
      <c r="X193" s="5" t="str">
        <f ca="1">IFERROR(_xludf.XLOOKUP(W193,Lookups!$Q$5:$Q$9,Lookups!$R$5:$R$9,"P2"),IFERROR(VLOOKUP(W193,Lookups!$Q$5:$R$9,2,FALSE),"P2"))</f>
        <v>P2</v>
      </c>
      <c r="Y193" s="5" t="str">
        <f ca="1">IFERROR(_xludf.XLOOKUP(W193,Lookups!$Q$5:$Q$9,Lookups!$S$5:$S$9,"Clarify triage"),IFERROR(VLOOKUP(W193,Lookups!$Q$5:$S$9,3,FALSE),"Clarify triage"))</f>
        <v>Clarify use case, role, and decision impact; run triage workshop.</v>
      </c>
      <c r="Z193" s="4"/>
    </row>
    <row r="194" spans="1:26" ht="16" x14ac:dyDescent="0.2">
      <c r="A194" s="3" t="s">
        <v>304</v>
      </c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 t="str">
        <f ca="1">IF(OR(Q194="Yes",R194="Yes",S194="Yes"),"Prohibited",IF(OR(L194="Yes",M194="Yes",N194="Yes",O194="Yes",P194="Yes"),"High-risk",IFERROR(_xludf.XLOOKUP(E194,Lookups!$Q$14:$Q$23,Lookups!$R$14:$R$23,"Unknown"),IFERROR(VLOOKUP(E194,Lookups!$Q$14:$R$23,2,FALSE),"Unknown"))))</f>
        <v>Unknown</v>
      </c>
      <c r="X194" s="5" t="str">
        <f ca="1">IFERROR(_xludf.XLOOKUP(W194,Lookups!$Q$5:$Q$9,Lookups!$R$5:$R$9,"P2"),IFERROR(VLOOKUP(W194,Lookups!$Q$5:$R$9,2,FALSE),"P2"))</f>
        <v>P2</v>
      </c>
      <c r="Y194" s="5" t="str">
        <f ca="1">IFERROR(_xludf.XLOOKUP(W194,Lookups!$Q$5:$Q$9,Lookups!$S$5:$S$9,"Clarify triage"),IFERROR(VLOOKUP(W194,Lookups!$Q$5:$S$9,3,FALSE),"Clarify triage"))</f>
        <v>Clarify use case, role, and decision impact; run triage workshop.</v>
      </c>
      <c r="Z194" s="4"/>
    </row>
    <row r="195" spans="1:26" ht="16" x14ac:dyDescent="0.2">
      <c r="A195" s="3" t="s">
        <v>305</v>
      </c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 t="str">
        <f ca="1">IF(OR(Q195="Yes",R195="Yes",S195="Yes"),"Prohibited",IF(OR(L195="Yes",M195="Yes",N195="Yes",O195="Yes",P195="Yes"),"High-risk",IFERROR(_xludf.XLOOKUP(E195,Lookups!$Q$14:$Q$23,Lookups!$R$14:$R$23,"Unknown"),IFERROR(VLOOKUP(E195,Lookups!$Q$14:$R$23,2,FALSE),"Unknown"))))</f>
        <v>Unknown</v>
      </c>
      <c r="X195" s="5" t="str">
        <f ca="1">IFERROR(_xludf.XLOOKUP(W195,Lookups!$Q$5:$Q$9,Lookups!$R$5:$R$9,"P2"),IFERROR(VLOOKUP(W195,Lookups!$Q$5:$R$9,2,FALSE),"P2"))</f>
        <v>P2</v>
      </c>
      <c r="Y195" s="5" t="str">
        <f ca="1">IFERROR(_xludf.XLOOKUP(W195,Lookups!$Q$5:$Q$9,Lookups!$S$5:$S$9,"Clarify triage"),IFERROR(VLOOKUP(W195,Lookups!$Q$5:$S$9,3,FALSE),"Clarify triage"))</f>
        <v>Clarify use case, role, and decision impact; run triage workshop.</v>
      </c>
      <c r="Z195" s="4"/>
    </row>
    <row r="196" spans="1:26" ht="16" x14ac:dyDescent="0.2">
      <c r="A196" s="3" t="s">
        <v>306</v>
      </c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 t="str">
        <f ca="1">IF(OR(Q196="Yes",R196="Yes",S196="Yes"),"Prohibited",IF(OR(L196="Yes",M196="Yes",N196="Yes",O196="Yes",P196="Yes"),"High-risk",IFERROR(_xludf.XLOOKUP(E196,Lookups!$Q$14:$Q$23,Lookups!$R$14:$R$23,"Unknown"),IFERROR(VLOOKUP(E196,Lookups!$Q$14:$R$23,2,FALSE),"Unknown"))))</f>
        <v>Unknown</v>
      </c>
      <c r="X196" s="5" t="str">
        <f ca="1">IFERROR(_xludf.XLOOKUP(W196,Lookups!$Q$5:$Q$9,Lookups!$R$5:$R$9,"P2"),IFERROR(VLOOKUP(W196,Lookups!$Q$5:$R$9,2,FALSE),"P2"))</f>
        <v>P2</v>
      </c>
      <c r="Y196" s="5" t="str">
        <f ca="1">IFERROR(_xludf.XLOOKUP(W196,Lookups!$Q$5:$Q$9,Lookups!$S$5:$S$9,"Clarify triage"),IFERROR(VLOOKUP(W196,Lookups!$Q$5:$S$9,3,FALSE),"Clarify triage"))</f>
        <v>Clarify use case, role, and decision impact; run triage workshop.</v>
      </c>
      <c r="Z196" s="4"/>
    </row>
    <row r="197" spans="1:26" ht="16" x14ac:dyDescent="0.2">
      <c r="A197" s="3" t="s">
        <v>307</v>
      </c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 t="str">
        <f ca="1">IF(OR(Q197="Yes",R197="Yes",S197="Yes"),"Prohibited",IF(OR(L197="Yes",M197="Yes",N197="Yes",O197="Yes",P197="Yes"),"High-risk",IFERROR(_xludf.XLOOKUP(E197,Lookups!$Q$14:$Q$23,Lookups!$R$14:$R$23,"Unknown"),IFERROR(VLOOKUP(E197,Lookups!$Q$14:$R$23,2,FALSE),"Unknown"))))</f>
        <v>Unknown</v>
      </c>
      <c r="X197" s="5" t="str">
        <f ca="1">IFERROR(_xludf.XLOOKUP(W197,Lookups!$Q$5:$Q$9,Lookups!$R$5:$R$9,"P2"),IFERROR(VLOOKUP(W197,Lookups!$Q$5:$R$9,2,FALSE),"P2"))</f>
        <v>P2</v>
      </c>
      <c r="Y197" s="5" t="str">
        <f ca="1">IFERROR(_xludf.XLOOKUP(W197,Lookups!$Q$5:$Q$9,Lookups!$S$5:$S$9,"Clarify triage"),IFERROR(VLOOKUP(W197,Lookups!$Q$5:$S$9,3,FALSE),"Clarify triage"))</f>
        <v>Clarify use case, role, and decision impact; run triage workshop.</v>
      </c>
      <c r="Z197" s="4"/>
    </row>
    <row r="198" spans="1:26" ht="16" x14ac:dyDescent="0.2">
      <c r="A198" s="3" t="s">
        <v>308</v>
      </c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 t="str">
        <f ca="1">IF(OR(Q198="Yes",R198="Yes",S198="Yes"),"Prohibited",IF(OR(L198="Yes",M198="Yes",N198="Yes",O198="Yes",P198="Yes"),"High-risk",IFERROR(_xludf.XLOOKUP(E198,Lookups!$Q$14:$Q$23,Lookups!$R$14:$R$23,"Unknown"),IFERROR(VLOOKUP(E198,Lookups!$Q$14:$R$23,2,FALSE),"Unknown"))))</f>
        <v>Unknown</v>
      </c>
      <c r="X198" s="5" t="str">
        <f ca="1">IFERROR(_xludf.XLOOKUP(W198,Lookups!$Q$5:$Q$9,Lookups!$R$5:$R$9,"P2"),IFERROR(VLOOKUP(W198,Lookups!$Q$5:$R$9,2,FALSE),"P2"))</f>
        <v>P2</v>
      </c>
      <c r="Y198" s="5" t="str">
        <f ca="1">IFERROR(_xludf.XLOOKUP(W198,Lookups!$Q$5:$Q$9,Lookups!$S$5:$S$9,"Clarify triage"),IFERROR(VLOOKUP(W198,Lookups!$Q$5:$S$9,3,FALSE),"Clarify triage"))</f>
        <v>Clarify use case, role, and decision impact; run triage workshop.</v>
      </c>
      <c r="Z198" s="4"/>
    </row>
    <row r="199" spans="1:26" ht="16" x14ac:dyDescent="0.2">
      <c r="A199" s="3" t="s">
        <v>309</v>
      </c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 t="str">
        <f ca="1">IF(OR(Q199="Yes",R199="Yes",S199="Yes"),"Prohibited",IF(OR(L199="Yes",M199="Yes",N199="Yes",O199="Yes",P199="Yes"),"High-risk",IFERROR(_xludf.XLOOKUP(E199,Lookups!$Q$14:$Q$23,Lookups!$R$14:$R$23,"Unknown"),IFERROR(VLOOKUP(E199,Lookups!$Q$14:$R$23,2,FALSE),"Unknown"))))</f>
        <v>Unknown</v>
      </c>
      <c r="X199" s="5" t="str">
        <f ca="1">IFERROR(_xludf.XLOOKUP(W199,Lookups!$Q$5:$Q$9,Lookups!$R$5:$R$9,"P2"),IFERROR(VLOOKUP(W199,Lookups!$Q$5:$R$9,2,FALSE),"P2"))</f>
        <v>P2</v>
      </c>
      <c r="Y199" s="5" t="str">
        <f ca="1">IFERROR(_xludf.XLOOKUP(W199,Lookups!$Q$5:$Q$9,Lookups!$S$5:$S$9,"Clarify triage"),IFERROR(VLOOKUP(W199,Lookups!$Q$5:$S$9,3,FALSE),"Clarify triage"))</f>
        <v>Clarify use case, role, and decision impact; run triage workshop.</v>
      </c>
      <c r="Z199" s="4"/>
    </row>
    <row r="200" spans="1:26" ht="16" x14ac:dyDescent="0.2">
      <c r="A200" s="3" t="s">
        <v>310</v>
      </c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 t="str">
        <f ca="1">IF(OR(Q200="Yes",R200="Yes",S200="Yes"),"Prohibited",IF(OR(L200="Yes",M200="Yes",N200="Yes",O200="Yes",P200="Yes"),"High-risk",IFERROR(_xludf.XLOOKUP(E200,Lookups!$Q$14:$Q$23,Lookups!$R$14:$R$23,"Unknown"),IFERROR(VLOOKUP(E200,Lookups!$Q$14:$R$23,2,FALSE),"Unknown"))))</f>
        <v>Unknown</v>
      </c>
      <c r="X200" s="5" t="str">
        <f ca="1">IFERROR(_xludf.XLOOKUP(W200,Lookups!$Q$5:$Q$9,Lookups!$R$5:$R$9,"P2"),IFERROR(VLOOKUP(W200,Lookups!$Q$5:$R$9,2,FALSE),"P2"))</f>
        <v>P2</v>
      </c>
      <c r="Y200" s="5" t="str">
        <f ca="1">IFERROR(_xludf.XLOOKUP(W200,Lookups!$Q$5:$Q$9,Lookups!$S$5:$S$9,"Clarify triage"),IFERROR(VLOOKUP(W200,Lookups!$Q$5:$S$9,3,FALSE),"Clarify triage"))</f>
        <v>Clarify use case, role, and decision impact; run triage workshop.</v>
      </c>
      <c r="Z200" s="4"/>
    </row>
    <row r="201" spans="1:26" ht="16" x14ac:dyDescent="0.2">
      <c r="A201" s="3" t="s">
        <v>311</v>
      </c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5" t="str">
        <f ca="1">IF(OR(Q201="Yes",R201="Yes",S201="Yes"),"Prohibited",IF(OR(L201="Yes",M201="Yes",N201="Yes",O201="Yes",P201="Yes"),"High-risk",IFERROR(_xludf.XLOOKUP(E201,Lookups!$Q$14:$Q$23,Lookups!$R$14:$R$23,"Unknown"),IFERROR(VLOOKUP(E201,Lookups!$Q$14:$R$23,2,FALSE),"Unknown"))))</f>
        <v>Unknown</v>
      </c>
      <c r="X201" s="5" t="str">
        <f ca="1">IFERROR(_xludf.XLOOKUP(W201,Lookups!$Q$5:$Q$9,Lookups!$R$5:$R$9,"P2"),IFERROR(VLOOKUP(W201,Lookups!$Q$5:$R$9,2,FALSE),"P2"))</f>
        <v>P2</v>
      </c>
      <c r="Y201" s="5" t="str">
        <f ca="1">IFERROR(_xludf.XLOOKUP(W201,Lookups!$Q$5:$Q$9,Lookups!$S$5:$S$9,"Clarify triage"),IFERROR(VLOOKUP(W201,Lookups!$Q$5:$S$9,3,FALSE),"Clarify triage"))</f>
        <v>Clarify use case, role, and decision impact; run triage workshop.</v>
      </c>
      <c r="Z201" s="4"/>
    </row>
  </sheetData>
  <autoFilter ref="A1:Z201" xr:uid="{00000000-0009-0000-0000-000001000000}"/>
  <dataValidations count="8">
    <dataValidation type="list" allowBlank="1" sqref="K2:K201 L2:L201 M2:M201 N2:N201 O2:O201 P2:P201 Q2:Q201 R2:R201 S2:S201 T2:T201 U2:U201" xr:uid="{00000000-0002-0000-0100-000000000000}">
      <formula1>YesNo</formula1>
    </dataValidation>
    <dataValidation type="list" allowBlank="1" sqref="D2:D201" xr:uid="{00000000-0002-0000-0100-000001000000}">
      <formula1>BusinessFunction</formula1>
    </dataValidation>
    <dataValidation type="list" allowBlank="1" sqref="E2:E201" xr:uid="{00000000-0002-0000-0100-000002000000}">
      <formula1>UseCaseArchetype</formula1>
    </dataValidation>
    <dataValidation type="list" allowBlank="1" sqref="G2:G201" xr:uid="{00000000-0002-0000-0100-000003000000}">
      <formula1>BuildType</formula1>
    </dataValidation>
    <dataValidation type="list" allowBlank="1" sqref="H2:H201" xr:uid="{00000000-0002-0000-0100-000004000000}">
      <formula1>RoleList</formula1>
    </dataValidation>
    <dataValidation type="list" allowBlank="1" sqref="I2:I201" xr:uid="{00000000-0002-0000-0100-000005000000}">
      <formula1>EnvironmentList</formula1>
    </dataValidation>
    <dataValidation type="list" allowBlank="1" sqref="J2:J201" xr:uid="{00000000-0002-0000-0100-000006000000}">
      <formula1>EndUsersList</formula1>
    </dataValidation>
    <dataValidation type="list" allowBlank="1" sqref="V2:V201" xr:uid="{00000000-0002-0000-0100-000007000000}">
      <formula1>DataSourceList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3" topLeftCell="A4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32" customWidth="1"/>
    <col min="2" max="2" width="18" customWidth="1"/>
  </cols>
  <sheetData>
    <row r="1" spans="1:2" ht="16" x14ac:dyDescent="0.2">
      <c r="A1" s="1" t="s">
        <v>312</v>
      </c>
    </row>
    <row r="3" spans="1:2" x14ac:dyDescent="0.2">
      <c r="A3" s="6" t="s">
        <v>313</v>
      </c>
      <c r="B3" s="6" t="s">
        <v>314</v>
      </c>
    </row>
    <row r="4" spans="1:2" ht="16" x14ac:dyDescent="0.2">
      <c r="A4" s="7" t="s">
        <v>315</v>
      </c>
      <c r="B4">
        <f>COUNTIF(AI_Inventory!B2:B201,"&lt;&gt;")</f>
        <v>0</v>
      </c>
    </row>
    <row r="5" spans="1:2" ht="16" x14ac:dyDescent="0.2">
      <c r="A5" s="7" t="s">
        <v>29</v>
      </c>
      <c r="B5">
        <f ca="1">COUNTIF(AI_Inventory!W2:W201,"Prohibited")</f>
        <v>0</v>
      </c>
    </row>
    <row r="6" spans="1:2" ht="16" x14ac:dyDescent="0.2">
      <c r="A6" s="7" t="s">
        <v>41</v>
      </c>
      <c r="B6">
        <f ca="1">COUNTIF(AI_Inventory!W2:W201,"High-risk")</f>
        <v>0</v>
      </c>
    </row>
    <row r="7" spans="1:2" ht="16" x14ac:dyDescent="0.2">
      <c r="A7" s="7" t="s">
        <v>50</v>
      </c>
      <c r="B7">
        <f ca="1">COUNTIF(AI_Inventory!W2:W201,"Limited risk")</f>
        <v>0</v>
      </c>
    </row>
    <row r="8" spans="1:2" ht="16" x14ac:dyDescent="0.2">
      <c r="A8" s="7" t="s">
        <v>58</v>
      </c>
      <c r="B8">
        <f ca="1">COUNTIF(AI_Inventory!W2:W201,"Minimal/Other")</f>
        <v>0</v>
      </c>
    </row>
    <row r="9" spans="1:2" ht="16" x14ac:dyDescent="0.2">
      <c r="A9" s="7" t="s">
        <v>33</v>
      </c>
      <c r="B9">
        <f ca="1">COUNTIF(AI_Inventory!W2:W201,"Unknown")</f>
        <v>200</v>
      </c>
    </row>
    <row r="10" spans="1:2" ht="16" x14ac:dyDescent="0.2">
      <c r="A10" s="7" t="s">
        <v>316</v>
      </c>
      <c r="B10">
        <f>COUNTIF(AI_Inventory!I2:I201,"Production")</f>
        <v>0</v>
      </c>
    </row>
    <row r="11" spans="1:2" ht="16" x14ac:dyDescent="0.2">
      <c r="A11" s="7" t="s">
        <v>317</v>
      </c>
      <c r="B11">
        <f ca="1">COUNTIFS(AI_Inventory!W2:W201,"High-risk",AI_Inventory!I2:I201,"Production")</f>
        <v>0</v>
      </c>
    </row>
    <row r="12" spans="1:2" ht="16" x14ac:dyDescent="0.2">
      <c r="A12" s="7" t="s">
        <v>318</v>
      </c>
      <c r="B12">
        <f>COUNTIF(AI_Inventory!T2:T201,"Yes")</f>
        <v>0</v>
      </c>
    </row>
    <row r="13" spans="1:2" ht="16" x14ac:dyDescent="0.2">
      <c r="A13" s="7" t="s">
        <v>319</v>
      </c>
      <c r="B13">
        <f>COUNTIF(AI_Inventory!U2:U201,"Yes")</f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0" width="22" customWidth="1"/>
  </cols>
  <sheetData>
    <row r="1" spans="1:20" ht="16" x14ac:dyDescent="0.2">
      <c r="A1" s="1" t="s">
        <v>0</v>
      </c>
    </row>
    <row r="3" spans="1:20" x14ac:dyDescent="0.2">
      <c r="A3" t="s">
        <v>1</v>
      </c>
      <c r="C3" t="s">
        <v>2</v>
      </c>
      <c r="E3" t="s">
        <v>3</v>
      </c>
      <c r="G3" t="s">
        <v>4</v>
      </c>
      <c r="I3" t="s">
        <v>5</v>
      </c>
      <c r="K3" t="s">
        <v>6</v>
      </c>
      <c r="M3" t="s">
        <v>7</v>
      </c>
      <c r="O3" t="s">
        <v>8</v>
      </c>
    </row>
    <row r="4" spans="1:20" x14ac:dyDescent="0.2">
      <c r="A4" t="s">
        <v>9</v>
      </c>
      <c r="C4" t="s">
        <v>10</v>
      </c>
      <c r="E4" t="s">
        <v>11</v>
      </c>
      <c r="G4" t="s">
        <v>12</v>
      </c>
      <c r="I4" t="s">
        <v>13</v>
      </c>
      <c r="K4" t="s">
        <v>14</v>
      </c>
      <c r="M4" t="s">
        <v>15</v>
      </c>
      <c r="O4" t="s">
        <v>16</v>
      </c>
      <c r="Q4" t="s">
        <v>17</v>
      </c>
      <c r="R4" t="s">
        <v>18</v>
      </c>
      <c r="S4" t="s">
        <v>19</v>
      </c>
      <c r="T4" t="s">
        <v>20</v>
      </c>
    </row>
    <row r="5" spans="1:20" x14ac:dyDescent="0.2">
      <c r="A5" t="s">
        <v>21</v>
      </c>
      <c r="C5" t="s">
        <v>22</v>
      </c>
      <c r="E5" t="s">
        <v>23</v>
      </c>
      <c r="G5" t="s">
        <v>24</v>
      </c>
      <c r="I5" t="s">
        <v>25</v>
      </c>
      <c r="K5" t="s">
        <v>26</v>
      </c>
      <c r="M5" t="s">
        <v>27</v>
      </c>
      <c r="O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">
      <c r="A6" t="s">
        <v>33</v>
      </c>
      <c r="C6" t="s">
        <v>34</v>
      </c>
      <c r="E6" t="s">
        <v>35</v>
      </c>
      <c r="G6" t="s">
        <v>36</v>
      </c>
      <c r="I6" t="s">
        <v>37</v>
      </c>
      <c r="K6" t="s">
        <v>38</v>
      </c>
      <c r="M6" t="s">
        <v>39</v>
      </c>
      <c r="O6" t="s">
        <v>40</v>
      </c>
      <c r="Q6" t="s">
        <v>41</v>
      </c>
      <c r="R6" t="s">
        <v>42</v>
      </c>
      <c r="S6" t="s">
        <v>43</v>
      </c>
      <c r="T6" t="s">
        <v>44</v>
      </c>
    </row>
    <row r="7" spans="1:20" x14ac:dyDescent="0.2">
      <c r="C7" t="s">
        <v>45</v>
      </c>
      <c r="E7" t="s">
        <v>46</v>
      </c>
      <c r="I7" t="s">
        <v>33</v>
      </c>
      <c r="K7" t="s">
        <v>47</v>
      </c>
      <c r="M7" t="s">
        <v>48</v>
      </c>
      <c r="O7" t="s">
        <v>49</v>
      </c>
      <c r="Q7" t="s">
        <v>50</v>
      </c>
      <c r="R7" t="s">
        <v>51</v>
      </c>
      <c r="S7" t="s">
        <v>52</v>
      </c>
      <c r="T7" t="s">
        <v>53</v>
      </c>
    </row>
    <row r="8" spans="1:20" x14ac:dyDescent="0.2">
      <c r="C8" t="s">
        <v>54</v>
      </c>
      <c r="E8" t="s">
        <v>55</v>
      </c>
      <c r="M8" t="s">
        <v>56</v>
      </c>
      <c r="O8" t="s">
        <v>57</v>
      </c>
      <c r="Q8" t="s">
        <v>58</v>
      </c>
      <c r="R8" t="s">
        <v>59</v>
      </c>
      <c r="S8" t="s">
        <v>60</v>
      </c>
      <c r="T8" t="s">
        <v>61</v>
      </c>
    </row>
    <row r="9" spans="1:20" x14ac:dyDescent="0.2">
      <c r="C9" t="s">
        <v>62</v>
      </c>
      <c r="E9" t="s">
        <v>63</v>
      </c>
      <c r="O9" t="s">
        <v>56</v>
      </c>
      <c r="Q9" t="s">
        <v>33</v>
      </c>
      <c r="R9" t="s">
        <v>51</v>
      </c>
      <c r="S9" t="s">
        <v>64</v>
      </c>
      <c r="T9" t="s">
        <v>65</v>
      </c>
    </row>
    <row r="10" spans="1:20" x14ac:dyDescent="0.2">
      <c r="C10" t="s">
        <v>66</v>
      </c>
      <c r="E10" t="s">
        <v>67</v>
      </c>
    </row>
    <row r="11" spans="1:20" x14ac:dyDescent="0.2">
      <c r="C11" t="s">
        <v>68</v>
      </c>
      <c r="E11" t="s">
        <v>69</v>
      </c>
    </row>
    <row r="12" spans="1:20" x14ac:dyDescent="0.2">
      <c r="C12" t="s">
        <v>70</v>
      </c>
      <c r="E12" t="s">
        <v>71</v>
      </c>
    </row>
    <row r="13" spans="1:20" x14ac:dyDescent="0.2">
      <c r="C13" t="s">
        <v>72</v>
      </c>
      <c r="E13" t="s">
        <v>73</v>
      </c>
      <c r="Q13" t="s">
        <v>3</v>
      </c>
      <c r="R13" t="s">
        <v>74</v>
      </c>
      <c r="S13" t="s">
        <v>75</v>
      </c>
    </row>
    <row r="14" spans="1:20" x14ac:dyDescent="0.2">
      <c r="C14" t="s">
        <v>76</v>
      </c>
      <c r="Q14" t="s">
        <v>11</v>
      </c>
      <c r="R14" t="s">
        <v>50</v>
      </c>
      <c r="S14" t="s">
        <v>77</v>
      </c>
    </row>
    <row r="15" spans="1:20" x14ac:dyDescent="0.2">
      <c r="C15" t="s">
        <v>73</v>
      </c>
      <c r="Q15" t="s">
        <v>23</v>
      </c>
      <c r="R15" t="s">
        <v>50</v>
      </c>
      <c r="S15" t="s">
        <v>78</v>
      </c>
    </row>
    <row r="16" spans="1:20" x14ac:dyDescent="0.2">
      <c r="Q16" t="s">
        <v>35</v>
      </c>
      <c r="R16" t="s">
        <v>50</v>
      </c>
      <c r="S16" t="s">
        <v>79</v>
      </c>
    </row>
    <row r="17" spans="17:19" x14ac:dyDescent="0.2">
      <c r="Q17" t="s">
        <v>46</v>
      </c>
      <c r="R17" t="s">
        <v>41</v>
      </c>
      <c r="S17" t="s">
        <v>80</v>
      </c>
    </row>
    <row r="18" spans="17:19" x14ac:dyDescent="0.2">
      <c r="Q18" t="s">
        <v>55</v>
      </c>
      <c r="R18" t="s">
        <v>41</v>
      </c>
      <c r="S18" t="s">
        <v>81</v>
      </c>
    </row>
    <row r="19" spans="17:19" x14ac:dyDescent="0.2">
      <c r="Q19" t="s">
        <v>63</v>
      </c>
      <c r="R19" t="s">
        <v>41</v>
      </c>
      <c r="S19" t="s">
        <v>82</v>
      </c>
    </row>
    <row r="20" spans="17:19" x14ac:dyDescent="0.2">
      <c r="Q20" t="s">
        <v>67</v>
      </c>
      <c r="R20" t="s">
        <v>41</v>
      </c>
      <c r="S20" t="s">
        <v>83</v>
      </c>
    </row>
    <row r="21" spans="17:19" x14ac:dyDescent="0.2">
      <c r="Q21" t="s">
        <v>69</v>
      </c>
      <c r="R21" t="s">
        <v>41</v>
      </c>
      <c r="S21" t="s">
        <v>84</v>
      </c>
    </row>
    <row r="22" spans="17:19" x14ac:dyDescent="0.2">
      <c r="Q22" t="s">
        <v>71</v>
      </c>
      <c r="R22" t="s">
        <v>58</v>
      </c>
      <c r="S22" t="s">
        <v>85</v>
      </c>
    </row>
    <row r="23" spans="17:19" x14ac:dyDescent="0.2">
      <c r="Q23" t="s">
        <v>73</v>
      </c>
      <c r="R23" t="s">
        <v>33</v>
      </c>
      <c r="S23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8</vt:i4>
      </vt:variant>
    </vt:vector>
  </HeadingPairs>
  <TitlesOfParts>
    <vt:vector size="12" baseType="lpstr">
      <vt:lpstr>Instructions</vt:lpstr>
      <vt:lpstr>AI_Inventory</vt:lpstr>
      <vt:lpstr>Risk_Triage</vt:lpstr>
      <vt:lpstr>Lookups</vt:lpstr>
      <vt:lpstr>BuildType</vt:lpstr>
      <vt:lpstr>BusinessFunction</vt:lpstr>
      <vt:lpstr>DataSourceList</vt:lpstr>
      <vt:lpstr>EndUsersList</vt:lpstr>
      <vt:lpstr>EnvironmentList</vt:lpstr>
      <vt:lpstr>RoleList</vt:lpstr>
      <vt:lpstr>UseCaseArchetype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MOLTISANTI Daniele</cp:lastModifiedBy>
  <dcterms:created xsi:type="dcterms:W3CDTF">2026-02-24T15:14:56Z</dcterms:created>
  <dcterms:modified xsi:type="dcterms:W3CDTF">2026-02-24T15:19:32Z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fbdcd-752b-43a2-b43a-6ff31172531d_Enabled">
    <vt:lpwstr>true</vt:lpwstr>
  </property>
  <property fmtid="{D5CDD505-2E9C-101B-9397-08002B2CF9AE}" pid="3" name="MSIP_Label_b99fbdcd-752b-43a2-b43a-6ff31172531d_SetDate">
    <vt:lpwstr>2026-02-24T15:17:10Z</vt:lpwstr>
  </property>
  <property fmtid="{D5CDD505-2E9C-101B-9397-08002B2CF9AE}" pid="4" name="MSIP_Label_b99fbdcd-752b-43a2-b43a-6ff31172531d_Method">
    <vt:lpwstr>Privileged</vt:lpwstr>
  </property>
  <property fmtid="{D5CDD505-2E9C-101B-9397-08002B2CF9AE}" pid="5" name="MSIP_Label_b99fbdcd-752b-43a2-b43a-6ff31172531d_Name">
    <vt:lpwstr>Non-Business Information</vt:lpwstr>
  </property>
  <property fmtid="{D5CDD505-2E9C-101B-9397-08002B2CF9AE}" pid="6" name="MSIP_Label_b99fbdcd-752b-43a2-b43a-6ff31172531d_SiteId">
    <vt:lpwstr>68b865d5-cf18-4b2b-82a4-a4eddb9c5237</vt:lpwstr>
  </property>
  <property fmtid="{D5CDD505-2E9C-101B-9397-08002B2CF9AE}" pid="7" name="MSIP_Label_b99fbdcd-752b-43a2-b43a-6ff31172531d_ActionId">
    <vt:lpwstr>7fa78ee0-7299-4e1d-a863-0030ec8ec861</vt:lpwstr>
  </property>
  <property fmtid="{D5CDD505-2E9C-101B-9397-08002B2CF9AE}" pid="8" name="MSIP_Label_b99fbdcd-752b-43a2-b43a-6ff31172531d_ContentBits">
    <vt:lpwstr>0</vt:lpwstr>
  </property>
  <property fmtid="{D5CDD505-2E9C-101B-9397-08002B2CF9AE}" pid="9" name="MSIP_Label_b99fbdcd-752b-43a2-b43a-6ff31172531d_Tag">
    <vt:lpwstr>50, 0, 1, 1</vt:lpwstr>
  </property>
</Properties>
</file>